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/>
  <workbookPr/>
  <mc:AlternateContent xmlns:mc="http://schemas.openxmlformats.org/markup-compatibility/2006">
    <mc:Choice Requires="x15">
      <x15ac:absPath xmlns:x15ac="http://schemas.microsoft.com/office/spreadsheetml/2010/11/ac" url="O:\__INNOVATIVE_ALUMINUM_SYSTEMS_INC\PRICE_LISTS\"/>
    </mc:Choice>
  </mc:AlternateContent>
  <xr:revisionPtr revIDLastSave="0" documentId="8_{D9E9CE2E-0BF9-4C10-8AF3-93B19451DDBD}" xr6:coauthVersionLast="47" xr6:coauthVersionMax="47" xr10:uidLastSave="{00000000-0000-0000-0000-000000000000}"/>
  <bookViews>
    <workbookView xWindow="-120" yWindow="-120" windowWidth="29040" windowHeight="15840" tabRatio="956" firstSheet="16" activeTab="28" xr2:uid="{00000000-000D-0000-FFFF-FFFF00000000}"/>
  </bookViews>
  <sheets>
    <sheet name="WP-58" sheetId="1" r:id="rId1"/>
    <sheet name="WP-58-MIDRAIL" sheetId="3" r:id="rId2"/>
    <sheet name="WP-58-OPEN-MIDRAIL" sheetId="4" r:id="rId3"/>
    <sheet name="WP-SLAT" sheetId="5" r:id="rId4"/>
    <sheet name="WP-SLAT-MIDRAIL" sheetId="6" r:id="rId5"/>
    <sheet name="WP-FLEXRAIL" sheetId="7" r:id="rId6"/>
    <sheet name="COMPGLASS" sheetId="8" r:id="rId7"/>
    <sheet name="POSTS-SFC-MT" sheetId="9" r:id="rId8"/>
    <sheet name="POSTS-SFC-MT2" sheetId="10" r:id="rId9"/>
    <sheet name="POSTS-FASC" sheetId="11" r:id="rId10"/>
    <sheet name="POSTS-FASC-SLV" sheetId="12" r:id="rId11"/>
    <sheet name="LVL-SLVS&amp;PARTS-TOPRAIL" sheetId="13" r:id="rId12"/>
    <sheet name="STR-SLVS&amp;PMP-TOPRAIL" sheetId="14" r:id="rId13"/>
    <sheet name="WM-TOPRAIL" sheetId="15" r:id="rId14"/>
    <sheet name="WM-BTM-MID-DBLRAIL" sheetId="16" r:id="rId15"/>
    <sheet name="LVL-SLV-BTM-MID-DBLRAIL" sheetId="17" r:id="rId16"/>
    <sheet name="IN-SLV&amp;BTM-MIDRAIL-CLIPS" sheetId="18" r:id="rId17"/>
    <sheet name="GLS-INSRT-SB&amp;LGS" sheetId="19" r:id="rId18"/>
    <sheet name="HRAIL&amp;PARTS" sheetId="20" r:id="rId19"/>
    <sheet name="GATES" sheetId="21" r:id="rId20"/>
    <sheet name="INF-SFC-POSTS" sheetId="22" r:id="rId21"/>
    <sheet name="INF-FASC-POSTS" sheetId="23" r:id="rId22"/>
    <sheet name="INF-FASC-BPLATES" sheetId="24" r:id="rId23"/>
    <sheet name="INF-PARTS&amp;OPTS" sheetId="25" r:id="rId24"/>
    <sheet name="FASTENERS" sheetId="26" r:id="rId25"/>
    <sheet name="CLR-OPTS" sheetId="27" r:id="rId26"/>
    <sheet name="SMPLS&amp;BRCHR" sheetId="28" r:id="rId27"/>
    <sheet name="IAS_USE-&gt;" sheetId="29" r:id="rId28"/>
    <sheet name="Dealer Discount" sheetId="30" r:id="rId29"/>
  </sheets>
  <definedNames>
    <definedName name="I">#REF!</definedName>
    <definedName name="infdisc">'Dealer Discount'!$C$3</definedName>
    <definedName name="may">'IAS_USE-&gt;'!$B$5</definedName>
    <definedName name="netdisc">'Dealer Discount'!$C$4</definedName>
    <definedName name="six">'IAS_USE-&gt;'!$B$2</definedName>
    <definedName name="stddisc">'Dealer Discount'!$C$2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5" i="26" l="1"/>
  <c r="G46" i="26"/>
  <c r="G47" i="26"/>
  <c r="G44" i="26"/>
  <c r="G38" i="26"/>
  <c r="G39" i="26"/>
  <c r="G40" i="26"/>
  <c r="G41" i="26"/>
  <c r="G37" i="26"/>
  <c r="G33" i="26"/>
  <c r="G32" i="26"/>
  <c r="G23" i="26"/>
  <c r="G24" i="26"/>
  <c r="G25" i="26"/>
  <c r="G26" i="26"/>
  <c r="G27" i="26"/>
  <c r="G28" i="26"/>
  <c r="G29" i="26"/>
  <c r="G22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4" i="26"/>
  <c r="E17" i="28"/>
  <c r="E18" i="28"/>
  <c r="E19" i="28"/>
  <c r="E16" i="28"/>
  <c r="E12" i="28"/>
  <c r="E4" i="28"/>
  <c r="E5" i="28"/>
  <c r="E6" i="28"/>
  <c r="E7" i="28"/>
  <c r="E8" i="28"/>
  <c r="E3" i="28"/>
  <c r="E14" i="27"/>
  <c r="E10" i="27"/>
  <c r="E6" i="27"/>
  <c r="E7" i="27"/>
  <c r="E5" i="27"/>
  <c r="F24" i="25"/>
  <c r="K7" i="17" l="1"/>
  <c r="F8" i="9"/>
  <c r="F13" i="11"/>
  <c r="F15" i="25" l="1"/>
  <c r="F11" i="25"/>
  <c r="E16" i="24"/>
  <c r="E9" i="24"/>
  <c r="K9" i="20" l="1"/>
  <c r="F15" i="20"/>
  <c r="F20" i="20" s="1"/>
  <c r="F25" i="20" s="1"/>
  <c r="F30" i="20" s="1"/>
  <c r="F9" i="20"/>
  <c r="K3" i="20"/>
  <c r="F16" i="18"/>
  <c r="F7" i="18"/>
  <c r="F7" i="17"/>
  <c r="K2" i="16"/>
  <c r="L2" i="15"/>
  <c r="K11" i="14"/>
  <c r="K2" i="14"/>
  <c r="F20" i="14"/>
  <c r="F11" i="14"/>
  <c r="K31" i="13"/>
  <c r="K26" i="13"/>
  <c r="K14" i="13"/>
  <c r="F36" i="13"/>
  <c r="F14" i="13"/>
  <c r="F26" i="13" s="1"/>
  <c r="L3" i="11"/>
  <c r="F8" i="10"/>
  <c r="F13" i="10" s="1"/>
  <c r="F22" i="10" s="1"/>
  <c r="F27" i="10" s="1"/>
  <c r="K23" i="9"/>
  <c r="K15" i="9"/>
  <c r="K8" i="9"/>
  <c r="K2" i="9"/>
  <c r="F30" i="9"/>
  <c r="F23" i="9"/>
  <c r="F15" i="9"/>
  <c r="K20" i="8"/>
  <c r="K11" i="8"/>
  <c r="K2" i="8"/>
  <c r="F11" i="8"/>
  <c r="F20" i="8" s="1"/>
  <c r="F25" i="8" s="1"/>
  <c r="K18" i="7"/>
  <c r="K14" i="7"/>
  <c r="K8" i="7"/>
  <c r="K2" i="7"/>
  <c r="F8" i="7"/>
  <c r="F14" i="7" s="1"/>
  <c r="F18" i="7" s="1"/>
  <c r="F23" i="7" s="1"/>
  <c r="F36" i="7" s="1"/>
  <c r="L13" i="6"/>
  <c r="F13" i="6"/>
  <c r="K13" i="5"/>
  <c r="F13" i="5"/>
  <c r="K9" i="4"/>
  <c r="F9" i="4"/>
  <c r="F15" i="4" s="1"/>
  <c r="K13" i="3"/>
  <c r="F13" i="3"/>
  <c r="L15" i="1"/>
  <c r="F15" i="1"/>
  <c r="C3" i="30"/>
  <c r="C2" i="30"/>
  <c r="E21" i="24" l="1"/>
  <c r="F17" i="25"/>
  <c r="E19" i="24"/>
  <c r="F6" i="23"/>
  <c r="F27" i="23"/>
  <c r="F18" i="22"/>
  <c r="F23" i="22"/>
  <c r="F28" i="22"/>
  <c r="F29" i="22"/>
  <c r="F16" i="23"/>
  <c r="F18" i="25"/>
  <c r="E20" i="24"/>
  <c r="F9" i="23"/>
  <c r="F30" i="23"/>
  <c r="F19" i="22"/>
  <c r="F31" i="23"/>
  <c r="F33" i="22"/>
  <c r="F35" i="22"/>
  <c r="F9" i="25"/>
  <c r="F22" i="23"/>
  <c r="F19" i="25"/>
  <c r="E17" i="24"/>
  <c r="F10" i="23"/>
  <c r="E7" i="24"/>
  <c r="F26" i="23"/>
  <c r="F16" i="25"/>
  <c r="E11" i="24"/>
  <c r="F11" i="23"/>
  <c r="F4" i="23"/>
  <c r="F24" i="22"/>
  <c r="F16" i="22"/>
  <c r="E18" i="24"/>
  <c r="F12" i="25"/>
  <c r="E12" i="24"/>
  <c r="F12" i="23"/>
  <c r="F6" i="22"/>
  <c r="F23" i="23"/>
  <c r="F5" i="25"/>
  <c r="E13" i="24"/>
  <c r="F15" i="23"/>
  <c r="F7" i="22"/>
  <c r="F10" i="22"/>
  <c r="E5" i="24"/>
  <c r="F11" i="22"/>
  <c r="F5" i="22"/>
  <c r="F5" i="23"/>
  <c r="F6" i="25"/>
  <c r="E10" i="24"/>
  <c r="F17" i="23"/>
  <c r="F7" i="25"/>
  <c r="F34" i="22"/>
  <c r="F13" i="22"/>
  <c r="F36" i="22"/>
  <c r="E4" i="24"/>
  <c r="F8" i="25"/>
  <c r="E6" i="24"/>
  <c r="F18" i="23"/>
  <c r="F12" i="22"/>
  <c r="F4" i="25"/>
  <c r="F17" i="22"/>
  <c r="K3" i="8"/>
  <c r="K4" i="8"/>
  <c r="K5" i="8"/>
  <c r="K6" i="8"/>
  <c r="K7" i="8"/>
  <c r="K8" i="8"/>
  <c r="F5" i="20"/>
  <c r="K5" i="20"/>
  <c r="K4" i="20"/>
  <c r="F6" i="20"/>
  <c r="K6" i="20"/>
  <c r="F4" i="20"/>
  <c r="K9" i="21"/>
  <c r="F24" i="21"/>
  <c r="F33" i="20"/>
  <c r="F12" i="20"/>
  <c r="F21" i="19"/>
  <c r="F3" i="18"/>
  <c r="F13" i="17"/>
  <c r="K10" i="16"/>
  <c r="F12" i="16"/>
  <c r="L12" i="15"/>
  <c r="F4" i="15"/>
  <c r="F19" i="15"/>
  <c r="K13" i="14"/>
  <c r="F14" i="14"/>
  <c r="K27" i="13"/>
  <c r="K6" i="13"/>
  <c r="F32" i="13"/>
  <c r="F4" i="13"/>
  <c r="F8" i="12"/>
  <c r="F23" i="12"/>
  <c r="F7" i="11"/>
  <c r="F16" i="10"/>
  <c r="K20" i="9"/>
  <c r="F25" i="9"/>
  <c r="F5" i="9"/>
  <c r="F22" i="8"/>
  <c r="F8" i="8"/>
  <c r="F39" i="7"/>
  <c r="F15" i="7"/>
  <c r="L16" i="6"/>
  <c r="F20" i="6"/>
  <c r="F9" i="6"/>
  <c r="K9" i="5"/>
  <c r="F16" i="5"/>
  <c r="F17" i="4"/>
  <c r="K4" i="4"/>
  <c r="K8" i="3"/>
  <c r="F15" i="3"/>
  <c r="L24" i="1"/>
  <c r="L8" i="1"/>
  <c r="F23" i="1"/>
  <c r="F12" i="1"/>
  <c r="K9" i="17"/>
  <c r="L20" i="15"/>
  <c r="K19" i="13"/>
  <c r="F21" i="13"/>
  <c r="F15" i="11"/>
  <c r="F10" i="10"/>
  <c r="F35" i="9"/>
  <c r="K16" i="8"/>
  <c r="F30" i="7"/>
  <c r="L8" i="6"/>
  <c r="K19" i="5"/>
  <c r="F6" i="5"/>
  <c r="K18" i="3"/>
  <c r="L19" i="1"/>
  <c r="F7" i="16"/>
  <c r="K17" i="13"/>
  <c r="L9" i="11"/>
  <c r="F33" i="9"/>
  <c r="K14" i="8"/>
  <c r="K9" i="7"/>
  <c r="K16" i="3"/>
  <c r="F18" i="1"/>
  <c r="F4" i="8"/>
  <c r="F20" i="5"/>
  <c r="F9" i="18"/>
  <c r="K5" i="21"/>
  <c r="F25" i="21"/>
  <c r="F34" i="20"/>
  <c r="F11" i="20"/>
  <c r="F4" i="19"/>
  <c r="K10" i="17"/>
  <c r="F9" i="17"/>
  <c r="K11" i="16"/>
  <c r="F13" i="16"/>
  <c r="L16" i="15"/>
  <c r="F5" i="15"/>
  <c r="F20" i="15"/>
  <c r="K12" i="14"/>
  <c r="F13" i="14"/>
  <c r="K23" i="13"/>
  <c r="K7" i="13"/>
  <c r="F28" i="13"/>
  <c r="F5" i="13"/>
  <c r="F9" i="12"/>
  <c r="F24" i="12"/>
  <c r="F8" i="11"/>
  <c r="F17" i="10"/>
  <c r="K19" i="9"/>
  <c r="F24" i="9"/>
  <c r="F3" i="9"/>
  <c r="F21" i="8"/>
  <c r="F3" i="8"/>
  <c r="F40" i="7"/>
  <c r="F11" i="7"/>
  <c r="L15" i="6"/>
  <c r="F19" i="6"/>
  <c r="F10" i="6"/>
  <c r="K8" i="5"/>
  <c r="F15" i="5"/>
  <c r="F16" i="4"/>
  <c r="F4" i="4"/>
  <c r="K7" i="3"/>
  <c r="F14" i="3"/>
  <c r="L23" i="1"/>
  <c r="L9" i="1"/>
  <c r="F24" i="1"/>
  <c r="F3" i="1"/>
  <c r="L10" i="6"/>
  <c r="K21" i="5"/>
  <c r="F11" i="4"/>
  <c r="F5" i="3"/>
  <c r="F16" i="1"/>
  <c r="F5" i="16"/>
  <c r="F9" i="15"/>
  <c r="F24" i="15"/>
  <c r="K7" i="14"/>
  <c r="K11" i="13"/>
  <c r="L7" i="11"/>
  <c r="F16" i="8"/>
  <c r="F7" i="3"/>
  <c r="F12" i="18"/>
  <c r="F11" i="15"/>
  <c r="F3" i="15"/>
  <c r="K3" i="14"/>
  <c r="F38" i="13"/>
  <c r="K17" i="5"/>
  <c r="F26" i="7"/>
  <c r="F26" i="9"/>
  <c r="F9" i="9"/>
  <c r="F26" i="8"/>
  <c r="K4" i="21"/>
  <c r="F26" i="21"/>
  <c r="F35" i="20"/>
  <c r="F5" i="19"/>
  <c r="F19" i="18"/>
  <c r="K11" i="17"/>
  <c r="F8" i="17"/>
  <c r="K12" i="16"/>
  <c r="F14" i="16"/>
  <c r="L17" i="15"/>
  <c r="F6" i="15"/>
  <c r="F21" i="15"/>
  <c r="K4" i="14"/>
  <c r="F12" i="14"/>
  <c r="K22" i="13"/>
  <c r="K8" i="13"/>
  <c r="F27" i="13"/>
  <c r="F6" i="13"/>
  <c r="F10" i="12"/>
  <c r="F4" i="12"/>
  <c r="F9" i="11"/>
  <c r="F18" i="10"/>
  <c r="K18" i="9"/>
  <c r="F20" i="9"/>
  <c r="K22" i="8"/>
  <c r="F13" i="8"/>
  <c r="F43" i="7"/>
  <c r="F37" i="7"/>
  <c r="F10" i="7"/>
  <c r="L14" i="6"/>
  <c r="F18" i="6"/>
  <c r="F3" i="6"/>
  <c r="K7" i="5"/>
  <c r="F14" i="5"/>
  <c r="F12" i="4"/>
  <c r="K21" i="3"/>
  <c r="K6" i="3"/>
  <c r="F4" i="3"/>
  <c r="L22" i="1"/>
  <c r="L10" i="1"/>
  <c r="F25" i="1"/>
  <c r="F32" i="7"/>
  <c r="F4" i="5"/>
  <c r="K20" i="3"/>
  <c r="L11" i="1"/>
  <c r="K14" i="16"/>
  <c r="K11" i="7"/>
  <c r="L22" i="15"/>
  <c r="F5" i="10"/>
  <c r="F4" i="6"/>
  <c r="K11" i="4"/>
  <c r="F9" i="3"/>
  <c r="F7" i="1"/>
  <c r="K4" i="7"/>
  <c r="F19" i="3"/>
  <c r="F8" i="1"/>
  <c r="K7" i="16"/>
  <c r="K33" i="13"/>
  <c r="F17" i="13"/>
  <c r="F20" i="12"/>
  <c r="K5" i="9"/>
  <c r="F12" i="9"/>
  <c r="K12" i="8"/>
  <c r="F27" i="7"/>
  <c r="F7" i="6"/>
  <c r="K5" i="4"/>
  <c r="K10" i="21"/>
  <c r="F11" i="16"/>
  <c r="K14" i="14"/>
  <c r="K28" i="13"/>
  <c r="F23" i="10"/>
  <c r="F7" i="8"/>
  <c r="K10" i="5"/>
  <c r="L25" i="1"/>
  <c r="F15" i="21"/>
  <c r="F14" i="21"/>
  <c r="F36" i="20"/>
  <c r="F6" i="19"/>
  <c r="F18" i="18"/>
  <c r="K12" i="17"/>
  <c r="F4" i="17"/>
  <c r="K3" i="16"/>
  <c r="F3" i="16"/>
  <c r="L18" i="15"/>
  <c r="F7" i="15"/>
  <c r="F22" i="15"/>
  <c r="K5" i="14"/>
  <c r="F4" i="14"/>
  <c r="K21" i="13"/>
  <c r="K9" i="13"/>
  <c r="F23" i="13"/>
  <c r="F7" i="13"/>
  <c r="F11" i="12"/>
  <c r="L5" i="11"/>
  <c r="F10" i="11"/>
  <c r="F15" i="10"/>
  <c r="K17" i="9"/>
  <c r="F19" i="9"/>
  <c r="K21" i="8"/>
  <c r="F14" i="8"/>
  <c r="K19" i="7"/>
  <c r="F9" i="7"/>
  <c r="F17" i="6"/>
  <c r="K6" i="5"/>
  <c r="K5" i="3"/>
  <c r="L21" i="1"/>
  <c r="L5" i="15"/>
  <c r="F6" i="14"/>
  <c r="F16" i="12"/>
  <c r="F17" i="9"/>
  <c r="F5" i="4"/>
  <c r="L3" i="1"/>
  <c r="L7" i="15"/>
  <c r="F8" i="14"/>
  <c r="F11" i="13"/>
  <c r="L5" i="6"/>
  <c r="F9" i="16"/>
  <c r="F33" i="13"/>
  <c r="F6" i="11"/>
  <c r="F16" i="21"/>
  <c r="F10" i="21"/>
  <c r="F37" i="20"/>
  <c r="F7" i="19"/>
  <c r="F17" i="18"/>
  <c r="K13" i="17"/>
  <c r="F3" i="17"/>
  <c r="F4" i="16"/>
  <c r="L4" i="15"/>
  <c r="L19" i="15"/>
  <c r="F8" i="15"/>
  <c r="F23" i="15"/>
  <c r="K6" i="14"/>
  <c r="F5" i="14"/>
  <c r="K20" i="13"/>
  <c r="K10" i="13"/>
  <c r="F22" i="13"/>
  <c r="F8" i="13"/>
  <c r="F12" i="12"/>
  <c r="L6" i="11"/>
  <c r="F4" i="11"/>
  <c r="F14" i="10"/>
  <c r="K16" i="9"/>
  <c r="F18" i="9"/>
  <c r="K17" i="8"/>
  <c r="F15" i="8"/>
  <c r="K15" i="7"/>
  <c r="F31" i="7"/>
  <c r="F4" i="7"/>
  <c r="L9" i="6"/>
  <c r="F16" i="6"/>
  <c r="K20" i="5"/>
  <c r="K5" i="5"/>
  <c r="F5" i="5"/>
  <c r="F10" i="4"/>
  <c r="K19" i="3"/>
  <c r="K4" i="3"/>
  <c r="F6" i="3"/>
  <c r="L20" i="1"/>
  <c r="L12" i="1"/>
  <c r="F4" i="1"/>
  <c r="F8" i="19"/>
  <c r="F10" i="18"/>
  <c r="F19" i="13"/>
  <c r="F14" i="11"/>
  <c r="F10" i="9"/>
  <c r="F12" i="8"/>
  <c r="F21" i="5"/>
  <c r="F20" i="3"/>
  <c r="K16" i="5"/>
  <c r="K12" i="4"/>
  <c r="L4" i="1"/>
  <c r="K12" i="20"/>
  <c r="L9" i="15"/>
  <c r="K16" i="14"/>
  <c r="F5" i="12"/>
  <c r="F28" i="10"/>
  <c r="F10" i="5"/>
  <c r="F20" i="1"/>
  <c r="F3" i="5"/>
  <c r="F21" i="1"/>
  <c r="F16" i="20"/>
  <c r="F12" i="17"/>
  <c r="L11" i="15"/>
  <c r="F15" i="14"/>
  <c r="F15" i="13"/>
  <c r="F38" i="7"/>
  <c r="F21" i="6"/>
  <c r="F17" i="5"/>
  <c r="F17" i="21"/>
  <c r="F9" i="21"/>
  <c r="F31" i="20"/>
  <c r="F9" i="13"/>
  <c r="F5" i="7"/>
  <c r="F15" i="6"/>
  <c r="K4" i="5"/>
  <c r="K3" i="3"/>
  <c r="F5" i="1"/>
  <c r="F6" i="1"/>
  <c r="K4" i="17"/>
  <c r="L21" i="6"/>
  <c r="F8" i="5"/>
  <c r="F10" i="3"/>
  <c r="F15" i="19"/>
  <c r="F17" i="14"/>
  <c r="L4" i="11"/>
  <c r="K5" i="7"/>
  <c r="L4" i="6"/>
  <c r="F18" i="3"/>
  <c r="L3" i="6"/>
  <c r="F17" i="3"/>
  <c r="F10" i="1"/>
  <c r="F23" i="21"/>
  <c r="F4" i="18"/>
  <c r="L3" i="15"/>
  <c r="F7" i="12"/>
  <c r="K24" i="9"/>
  <c r="F19" i="7"/>
  <c r="F8" i="6"/>
  <c r="F18" i="21"/>
  <c r="F5" i="21"/>
  <c r="F27" i="20"/>
  <c r="F9" i="19"/>
  <c r="F11" i="18"/>
  <c r="K8" i="17"/>
  <c r="K4" i="16"/>
  <c r="F6" i="16"/>
  <c r="L6" i="15"/>
  <c r="L21" i="15"/>
  <c r="F10" i="15"/>
  <c r="F25" i="15"/>
  <c r="K8" i="14"/>
  <c r="F7" i="14"/>
  <c r="K18" i="13"/>
  <c r="K3" i="13"/>
  <c r="F20" i="13"/>
  <c r="F10" i="13"/>
  <c r="F17" i="12"/>
  <c r="L8" i="11"/>
  <c r="F16" i="11"/>
  <c r="F9" i="10"/>
  <c r="F34" i="9"/>
  <c r="F16" i="9"/>
  <c r="K15" i="8"/>
  <c r="F17" i="8"/>
  <c r="K10" i="7"/>
  <c r="F29" i="7"/>
  <c r="F3" i="7"/>
  <c r="L7" i="6"/>
  <c r="F14" i="6"/>
  <c r="K18" i="5"/>
  <c r="K3" i="5"/>
  <c r="F7" i="5"/>
  <c r="F6" i="4"/>
  <c r="K17" i="3"/>
  <c r="F21" i="3"/>
  <c r="F8" i="3"/>
  <c r="L18" i="1"/>
  <c r="F17" i="1"/>
  <c r="K5" i="16"/>
  <c r="F18" i="12"/>
  <c r="F25" i="7"/>
  <c r="F5" i="6"/>
  <c r="K15" i="3"/>
  <c r="F19" i="1"/>
  <c r="F10" i="17"/>
  <c r="F16" i="15"/>
  <c r="F40" i="13"/>
  <c r="F5" i="8"/>
  <c r="F19" i="5"/>
  <c r="F3" i="3"/>
  <c r="L5" i="1"/>
  <c r="F18" i="5"/>
  <c r="K10" i="3"/>
  <c r="L17" i="1"/>
  <c r="F20" i="19"/>
  <c r="F18" i="15"/>
  <c r="K5" i="13"/>
  <c r="F22" i="12"/>
  <c r="L17" i="6"/>
  <c r="F18" i="4"/>
  <c r="F16" i="3"/>
  <c r="F22" i="1"/>
  <c r="F19" i="21"/>
  <c r="F4" i="21"/>
  <c r="F26" i="20"/>
  <c r="F13" i="19"/>
  <c r="L6" i="6"/>
  <c r="L16" i="1"/>
  <c r="L20" i="6"/>
  <c r="F21" i="21"/>
  <c r="K15" i="13"/>
  <c r="L19" i="6"/>
  <c r="K15" i="5"/>
  <c r="K14" i="3"/>
  <c r="F9" i="1"/>
  <c r="K14" i="5"/>
  <c r="L6" i="1"/>
  <c r="F32" i="20"/>
  <c r="K9" i="16"/>
  <c r="F11" i="1"/>
  <c r="F20" i="21"/>
  <c r="K11" i="20"/>
  <c r="F22" i="20"/>
  <c r="F14" i="19"/>
  <c r="F13" i="18"/>
  <c r="K3" i="17"/>
  <c r="K6" i="16"/>
  <c r="F8" i="16"/>
  <c r="L8" i="15"/>
  <c r="L23" i="15"/>
  <c r="F12" i="15"/>
  <c r="K17" i="14"/>
  <c r="F21" i="14"/>
  <c r="F3" i="14"/>
  <c r="K16" i="13"/>
  <c r="F39" i="13"/>
  <c r="F18" i="13"/>
  <c r="F3" i="13"/>
  <c r="F19" i="12"/>
  <c r="L10" i="11"/>
  <c r="F29" i="10"/>
  <c r="F4" i="10"/>
  <c r="F32" i="9"/>
  <c r="F11" i="9"/>
  <c r="K13" i="8"/>
  <c r="F9" i="5"/>
  <c r="F21" i="20"/>
  <c r="L24" i="15"/>
  <c r="F31" i="9"/>
  <c r="F6" i="6"/>
  <c r="K10" i="4"/>
  <c r="F22" i="21"/>
  <c r="K10" i="20"/>
  <c r="F17" i="20"/>
  <c r="F19" i="19"/>
  <c r="F8" i="18"/>
  <c r="F11" i="17"/>
  <c r="K8" i="16"/>
  <c r="F10" i="16"/>
  <c r="L10" i="15"/>
  <c r="L25" i="15"/>
  <c r="F17" i="15"/>
  <c r="K15" i="14"/>
  <c r="F16" i="14"/>
  <c r="K32" i="13"/>
  <c r="K4" i="13"/>
  <c r="F37" i="13"/>
  <c r="F16" i="13"/>
  <c r="F6" i="12"/>
  <c r="F21" i="12"/>
  <c r="F5" i="11"/>
  <c r="F24" i="10"/>
  <c r="K25" i="9"/>
  <c r="F27" i="9"/>
  <c r="F13" i="9"/>
  <c r="F27" i="8"/>
  <c r="F6" i="8"/>
  <c r="K3" i="7"/>
  <c r="F24" i="7"/>
  <c r="L18" i="6"/>
  <c r="K6" i="4"/>
  <c r="K9" i="3"/>
  <c r="L7" i="1"/>
</calcChain>
</file>

<file path=xl/sharedStrings.xml><?xml version="1.0" encoding="utf-8"?>
<sst xmlns="http://schemas.openxmlformats.org/spreadsheetml/2006/main" count="2491" uniqueCount="969">
  <si>
    <t>Size</t>
  </si>
  <si>
    <t>Unit</t>
  </si>
  <si>
    <t>Part Code</t>
  </si>
  <si>
    <t>List Price</t>
  </si>
  <si>
    <t>16’</t>
  </si>
  <si>
    <t>Each</t>
  </si>
  <si>
    <t>PWPS3616</t>
  </si>
  <si>
    <t>20’</t>
  </si>
  <si>
    <t>PWPS3620</t>
  </si>
  <si>
    <t>Cut</t>
  </si>
  <si>
    <t>Foot</t>
  </si>
  <si>
    <t>PWPS36CUT</t>
  </si>
  <si>
    <t>PWPS4216</t>
  </si>
  <si>
    <t>PWPS4220</t>
  </si>
  <si>
    <t>PWPS42CUT</t>
  </si>
  <si>
    <t>PWSPS16</t>
  </si>
  <si>
    <t>PWSPSCUT</t>
  </si>
  <si>
    <t>PWSPS4216</t>
  </si>
  <si>
    <t>PWSPS42CUT</t>
  </si>
  <si>
    <t>Square</t>
  </si>
  <si>
    <t>Round</t>
  </si>
  <si>
    <t>PWPR3616</t>
  </si>
  <si>
    <t>PWPR3620</t>
  </si>
  <si>
    <t>PWPR36CUT</t>
  </si>
  <si>
    <t>PWPR4216</t>
  </si>
  <si>
    <t>PWPR4220</t>
  </si>
  <si>
    <t>PWPR42CUT</t>
  </si>
  <si>
    <t>PWSPR16</t>
  </si>
  <si>
    <t>PWSPRCUT</t>
  </si>
  <si>
    <t>PWSPR4216</t>
  </si>
  <si>
    <t>PWSPR42CUT</t>
  </si>
  <si>
    <t>PWPF3616</t>
  </si>
  <si>
    <t>PWPF3620</t>
  </si>
  <si>
    <t>PWPF36CUT</t>
  </si>
  <si>
    <t>PWPF4216</t>
  </si>
  <si>
    <t>PWPF4220</t>
  </si>
  <si>
    <t>PWPF42CUT</t>
  </si>
  <si>
    <t>PWSPF16</t>
  </si>
  <si>
    <t>PWSPFCUT</t>
  </si>
  <si>
    <t>PWSPF4216</t>
  </si>
  <si>
    <t>PWSPF42CUT</t>
  </si>
  <si>
    <t>Flat</t>
  </si>
  <si>
    <t>PWPC3616</t>
  </si>
  <si>
    <t>PWPC3620</t>
  </si>
  <si>
    <t>PWPC36CUT</t>
  </si>
  <si>
    <t>PWPC4216</t>
  </si>
  <si>
    <t>PWPC4220</t>
  </si>
  <si>
    <t>PWPC42CUT</t>
  </si>
  <si>
    <t>PWSPC16</t>
  </si>
  <si>
    <t>PWSPCCUT</t>
  </si>
  <si>
    <t>PWSPC4216</t>
  </si>
  <si>
    <t>PWSPC42CUT</t>
  </si>
  <si>
    <t>Colonial</t>
  </si>
  <si>
    <t>PWPSM3616</t>
  </si>
  <si>
    <t>PWPSM3620</t>
  </si>
  <si>
    <t>PWPSM36CUT</t>
  </si>
  <si>
    <t>PWPSM4216</t>
  </si>
  <si>
    <t>PWPSM4220</t>
  </si>
  <si>
    <t>PWPSM42CUT</t>
  </si>
  <si>
    <t>PWSPSM16</t>
  </si>
  <si>
    <t>PWSPSMCUT</t>
  </si>
  <si>
    <t>PWPRM3616</t>
  </si>
  <si>
    <t>PWPRM3620</t>
  </si>
  <si>
    <t>PWPRM36CUT</t>
  </si>
  <si>
    <t>PWPRM4216</t>
  </si>
  <si>
    <t>PWPRM4220</t>
  </si>
  <si>
    <t>PWPRM42CUT</t>
  </si>
  <si>
    <t>PWSPRM16</t>
  </si>
  <si>
    <t>PWSPRMCUT</t>
  </si>
  <si>
    <t>PWPFM3616</t>
  </si>
  <si>
    <t>PWPFM3620</t>
  </si>
  <si>
    <t>PWPFM36CUT</t>
  </si>
  <si>
    <t>PWPFM4216</t>
  </si>
  <si>
    <t>PWPFM4220</t>
  </si>
  <si>
    <t>PWPFM42CUT</t>
  </si>
  <si>
    <t>PWSPFM16</t>
  </si>
  <si>
    <t>PWSPFMCUT</t>
  </si>
  <si>
    <t>PWPCM3616</t>
  </si>
  <si>
    <t>PWPCM3620</t>
  </si>
  <si>
    <t>PWPCM36CUT</t>
  </si>
  <si>
    <t>PWPCM4216</t>
  </si>
  <si>
    <t>PWPCM4220</t>
  </si>
  <si>
    <t>PWPCM42CUT</t>
  </si>
  <si>
    <t>PWSPCM16</t>
  </si>
  <si>
    <t>PWSPCMCUT</t>
  </si>
  <si>
    <t>PLSW16</t>
  </si>
  <si>
    <t>PLSW20</t>
  </si>
  <si>
    <t>PLSWCUT</t>
  </si>
  <si>
    <t>PLRW16</t>
  </si>
  <si>
    <t>PLRW20</t>
  </si>
  <si>
    <t>PLRWCUT</t>
  </si>
  <si>
    <t>Top-Rail for Open Mid-Rail Picket</t>
  </si>
  <si>
    <t>PLFW16</t>
  </si>
  <si>
    <t>PLFW20</t>
  </si>
  <si>
    <t>PLFWCUT</t>
  </si>
  <si>
    <t>PLCW16</t>
  </si>
  <si>
    <t>PLCW20</t>
  </si>
  <si>
    <t>PLCWCUT</t>
  </si>
  <si>
    <t>Picket Mid RailPanels</t>
  </si>
  <si>
    <t>Mid Rail</t>
  </si>
  <si>
    <t>PWPOMR4216</t>
  </si>
  <si>
    <t>PWPOMR4220</t>
  </si>
  <si>
    <t>PWPOMR42CUT</t>
  </si>
  <si>
    <t>PWPSSLAT3616</t>
  </si>
  <si>
    <t>PWPSSLAT3620</t>
  </si>
  <si>
    <t>PWPSSLAT36CUT</t>
  </si>
  <si>
    <t>PWPSSLAT4216</t>
  </si>
  <si>
    <t>PWPSSLAT4220</t>
  </si>
  <si>
    <t>PWPSSLAT42CUT</t>
  </si>
  <si>
    <t>PWSPSSLAT16</t>
  </si>
  <si>
    <t>PWSPSSLATCUT</t>
  </si>
  <si>
    <t>PWPRSLAT3616</t>
  </si>
  <si>
    <t>PWPRSLAT3620</t>
  </si>
  <si>
    <t>PWPRSLAT36CUT</t>
  </si>
  <si>
    <t>PWPRSLAT4216</t>
  </si>
  <si>
    <t>PWPRSLAT4220</t>
  </si>
  <si>
    <t>PWPRSLAT42CUT</t>
  </si>
  <si>
    <t>PWSPRSLAT16</t>
  </si>
  <si>
    <t>PWSPRSLATCUT</t>
  </si>
  <si>
    <t>PWPFSLAT3616</t>
  </si>
  <si>
    <t>PWPFSLAT3620</t>
  </si>
  <si>
    <t>PWPFSLAT36CUT</t>
  </si>
  <si>
    <t>PWPFSLAT4216</t>
  </si>
  <si>
    <t>PWPFSLAT4220</t>
  </si>
  <si>
    <t>PWPFSLAT42CUT</t>
  </si>
  <si>
    <t>PWSPFSLAT16</t>
  </si>
  <si>
    <t>PWSPFSLATCUT</t>
  </si>
  <si>
    <t>PWPCSLAT3616</t>
  </si>
  <si>
    <t>PWPCSLAT3620</t>
  </si>
  <si>
    <t>PWPCSLAT36CUT</t>
  </si>
  <si>
    <t>PWPCSLAT4216</t>
  </si>
  <si>
    <t>PWPCSLAT4220</t>
  </si>
  <si>
    <t>PWPCSLAT42CUT</t>
  </si>
  <si>
    <t>PWSPCSLAT16</t>
  </si>
  <si>
    <t>PWSPCSLATCUT</t>
  </si>
  <si>
    <t>PWPSMSLAT3616</t>
  </si>
  <si>
    <t>PWPSMSLAT3620</t>
  </si>
  <si>
    <t>PWPSMSLAT36CUT</t>
  </si>
  <si>
    <t>PWPSMSLAT4216</t>
  </si>
  <si>
    <t>PWPSMSLAT4220</t>
  </si>
  <si>
    <t>PWPSMSLAT42CUT</t>
  </si>
  <si>
    <t>PWSPSMSLAT16</t>
  </si>
  <si>
    <t>PWSPSMSLATCUT</t>
  </si>
  <si>
    <t>PWPRMSLAT3616</t>
  </si>
  <si>
    <t>PWPRMSLAT3620</t>
  </si>
  <si>
    <t>PWPRMSLAT36CUT</t>
  </si>
  <si>
    <t>PWPRMSLAT4216</t>
  </si>
  <si>
    <t>PWPRMSLAT4220</t>
  </si>
  <si>
    <t>PWPRMSLAT42CUT</t>
  </si>
  <si>
    <t>PWSPRMSLAT16</t>
  </si>
  <si>
    <t>PWSPRMSLATCUT</t>
  </si>
  <si>
    <t>PWPFMSLAT3616</t>
  </si>
  <si>
    <t>PWPFMSLAT3620</t>
  </si>
  <si>
    <t>PWPFMSLAT36CUT</t>
  </si>
  <si>
    <t>PWPFMSLAT4216</t>
  </si>
  <si>
    <t>PWPFMSLAT4220</t>
  </si>
  <si>
    <t>PWPFMSLAT42CUT</t>
  </si>
  <si>
    <t>PWSPFMSLAT16</t>
  </si>
  <si>
    <t>PWSPFMSLATCUT</t>
  </si>
  <si>
    <t>PWPCMSLAT3616</t>
  </si>
  <si>
    <t>PWPCMSLAT3620</t>
  </si>
  <si>
    <t>PWPCMSLAT36CUT</t>
  </si>
  <si>
    <t>PWPCMSLAT4216</t>
  </si>
  <si>
    <t>PWPCMSLAT4220</t>
  </si>
  <si>
    <t>PWPCMSLAT42CUT</t>
  </si>
  <si>
    <t>PWSPCMSLAT16</t>
  </si>
  <si>
    <t>PWSPCMSLATCUT</t>
  </si>
  <si>
    <t>Flex Rail Top Rails</t>
  </si>
  <si>
    <t>Top Flex Rail</t>
  </si>
  <si>
    <t>PLSC16</t>
  </si>
  <si>
    <t>PLSC20</t>
  </si>
  <si>
    <t>PLSCCUT</t>
  </si>
  <si>
    <t>PLRC16</t>
  </si>
  <si>
    <t>PLRC20</t>
  </si>
  <si>
    <t>PLRCCUT</t>
  </si>
  <si>
    <t>PLFC16</t>
  </si>
  <si>
    <t>PLFC20</t>
  </si>
  <si>
    <t>PLFCCUT</t>
  </si>
  <si>
    <t>PLCC16</t>
  </si>
  <si>
    <t>PLCC20</t>
  </si>
  <si>
    <t>PLCCCUT</t>
  </si>
  <si>
    <t>Flex Rail - Stair Sleeves</t>
  </si>
  <si>
    <t xml:space="preserve">Notched to fit 1.72 Post </t>
  </si>
  <si>
    <t>Flex-Rail Stair Sleeve - Down</t>
  </si>
  <si>
    <t>PFRSSTR</t>
  </si>
  <si>
    <t>PFRRSTR</t>
  </si>
  <si>
    <t>PFRFSTR</t>
  </si>
  <si>
    <t>PFRCSTR</t>
  </si>
  <si>
    <t>Flex Rail - Level Insert Panels</t>
  </si>
  <si>
    <t>Note: Top Rails Sold Separately</t>
  </si>
  <si>
    <t>Length</t>
  </si>
  <si>
    <t>4’</t>
  </si>
  <si>
    <t>PFRIP364</t>
  </si>
  <si>
    <t>5’</t>
  </si>
  <si>
    <t>PFRIP365</t>
  </si>
  <si>
    <t>6’</t>
  </si>
  <si>
    <t>PFRIP366</t>
  </si>
  <si>
    <t>PFRIP36CUT</t>
  </si>
  <si>
    <t>PFRIP424</t>
  </si>
  <si>
    <t>PFRIP425</t>
  </si>
  <si>
    <t>PFRIP426</t>
  </si>
  <si>
    <t>PFRIP42CUT</t>
  </si>
  <si>
    <t>Flex Rail - Stair Panels</t>
  </si>
  <si>
    <t>Note: Top Rails Sold Separately - Adjustable To A 40º Angle</t>
  </si>
  <si>
    <t>Stair, 36" Rail Height</t>
  </si>
  <si>
    <t>PFRSP6</t>
  </si>
  <si>
    <t>8’</t>
  </si>
  <si>
    <t>PFRSP8</t>
  </si>
  <si>
    <t>PFRSPCUT</t>
  </si>
  <si>
    <t xml:space="preserve">Flex Rail - Stair Sleeve </t>
  </si>
  <si>
    <t>Bottom</t>
  </si>
  <si>
    <t>Fig.</t>
  </si>
  <si>
    <t>Adjustable Bottom Stair Sleeve Set</t>
  </si>
  <si>
    <t>a</t>
  </si>
  <si>
    <t>PFRBSTR</t>
  </si>
  <si>
    <t>Top Rails</t>
  </si>
  <si>
    <t>Top Glass Rail</t>
  </si>
  <si>
    <t>Top Rail for Open Glass Mid-Rail</t>
  </si>
  <si>
    <t>Mid-Rail</t>
  </si>
  <si>
    <t>Intermediate Glass Mid-Rail</t>
  </si>
  <si>
    <t>PLBRW20</t>
  </si>
  <si>
    <t>PLBRWCUT</t>
  </si>
  <si>
    <t>Double-Rail</t>
  </si>
  <si>
    <t>PLDMR20</t>
  </si>
  <si>
    <t>PLDMRCUT</t>
  </si>
  <si>
    <t>Bottom Rail</t>
  </si>
  <si>
    <t>Bottom-Rail</t>
  </si>
  <si>
    <t>Bottom Glass Rail</t>
  </si>
  <si>
    <t>Plain Posts</t>
  </si>
  <si>
    <t xml:space="preserve">36” Rail Height </t>
  </si>
  <si>
    <t>Height</t>
  </si>
  <si>
    <t>1.72 Plain Post</t>
  </si>
  <si>
    <t>34 1/8”</t>
  </si>
  <si>
    <t>PPS136</t>
  </si>
  <si>
    <t>42” Rail Height</t>
  </si>
  <si>
    <t>40 1/8”</t>
  </si>
  <si>
    <t xml:space="preserve">PPS142 </t>
  </si>
  <si>
    <t>IBC</t>
  </si>
  <si>
    <t>n/a</t>
  </si>
  <si>
    <t>PEPS142</t>
  </si>
  <si>
    <t>Posts With Bottom Sleeves</t>
  </si>
  <si>
    <t>1.72 End Post</t>
  </si>
  <si>
    <t>PPS136END</t>
  </si>
  <si>
    <t>1.72 Mid Post</t>
  </si>
  <si>
    <t>PPS136MID</t>
  </si>
  <si>
    <t>1.72 90º Corner Post</t>
  </si>
  <si>
    <t>34”</t>
  </si>
  <si>
    <t>PPS13690</t>
  </si>
  <si>
    <t>1.72 135º Corner Post</t>
  </si>
  <si>
    <t>PPS136135</t>
  </si>
  <si>
    <t>1.72 Custom Angle Corner Post</t>
  </si>
  <si>
    <t>PPS136CUS</t>
  </si>
  <si>
    <t xml:space="preserve">n/a </t>
  </si>
  <si>
    <t>PPS142END</t>
  </si>
  <si>
    <t>PPS142MID</t>
  </si>
  <si>
    <t>40”</t>
  </si>
  <si>
    <t>PPS14290</t>
  </si>
  <si>
    <t>PPS142135</t>
  </si>
  <si>
    <t>PPS142CUS</t>
  </si>
  <si>
    <t>PEPS142END</t>
  </si>
  <si>
    <t>PEPS142MID</t>
  </si>
  <si>
    <t>PEPS14290</t>
  </si>
  <si>
    <t>PEPS142135</t>
  </si>
  <si>
    <t>PEPS142CUS</t>
  </si>
  <si>
    <t>1.72 Lineal Post Material</t>
  </si>
  <si>
    <t>1.72 Post Material</t>
  </si>
  <si>
    <t>246”</t>
  </si>
  <si>
    <t>PL172246</t>
  </si>
  <si>
    <t>1.72 Post Material - Cut to Length</t>
  </si>
  <si>
    <t>PL172CUT</t>
  </si>
  <si>
    <t>PEL172246</t>
  </si>
  <si>
    <t>PEL172CUT</t>
  </si>
  <si>
    <t>1.72 Post Parts</t>
  </si>
  <si>
    <t>b</t>
  </si>
  <si>
    <t>PPLB1724438</t>
  </si>
  <si>
    <t>c</t>
  </si>
  <si>
    <t>EZ-Shim - Base Plate Shim (10 Per Bag)</t>
  </si>
  <si>
    <t>d</t>
  </si>
  <si>
    <t>RPLBPSHIM</t>
  </si>
  <si>
    <t>Base Plate Gasket - Neoprene - 1/8x4x4</t>
  </si>
  <si>
    <t>e</t>
  </si>
  <si>
    <t>RPLBPG</t>
  </si>
  <si>
    <t>1.72" - Screw On Cap</t>
  </si>
  <si>
    <t>f</t>
  </si>
  <si>
    <t>2.5 Posts</t>
  </si>
  <si>
    <t>Mixed Rail Heights</t>
  </si>
  <si>
    <t>37”</t>
  </si>
  <si>
    <t>PPS236</t>
  </si>
  <si>
    <t>43”</t>
  </si>
  <si>
    <t>PPS242</t>
  </si>
  <si>
    <t>2.5 Lineal Post Material</t>
  </si>
  <si>
    <t>2 1/2 Post Material, 246 Inches</t>
  </si>
  <si>
    <t>PL250246</t>
  </si>
  <si>
    <t>2 1/2 Post Material - Cut to Length</t>
  </si>
  <si>
    <t>PL250CUT</t>
  </si>
  <si>
    <t>2.5 Post Parts</t>
  </si>
  <si>
    <t xml:space="preserve"> </t>
  </si>
  <si>
    <t>2 1/2" Pyramid Cap</t>
  </si>
  <si>
    <t>2 1/2" Pyramid Cap With Ball</t>
  </si>
  <si>
    <t>Plain</t>
  </si>
  <si>
    <t>48”</t>
  </si>
  <si>
    <t xml:space="preserve">Inside 90º Corner </t>
  </si>
  <si>
    <t>Inside 135º Corner</t>
  </si>
  <si>
    <t>Inside Custom Angle Corner</t>
  </si>
  <si>
    <t>Outside 90º Corner</t>
  </si>
  <si>
    <t>Outside 135º Corner</t>
  </si>
  <si>
    <t>Outside Custom Angle Corner</t>
  </si>
  <si>
    <t>Plain Posts W/3/4” Offset</t>
  </si>
  <si>
    <t>PPFO1P</t>
  </si>
  <si>
    <t>PPFO1I90</t>
  </si>
  <si>
    <t>PPFO1I135</t>
  </si>
  <si>
    <t>PPFO1ICUS</t>
  </si>
  <si>
    <t>PPFO1O90</t>
  </si>
  <si>
    <t>Outside 135º  Corner</t>
  </si>
  <si>
    <t>PPFO1O135</t>
  </si>
  <si>
    <t>PPFO1OCUS</t>
  </si>
  <si>
    <t>PEPF1P</t>
  </si>
  <si>
    <t>PEPF1I90</t>
  </si>
  <si>
    <t>PEPF1ICUS</t>
  </si>
  <si>
    <t>PEPF1O90</t>
  </si>
  <si>
    <t>PEPF1O135</t>
  </si>
  <si>
    <t>PEPF1OCUS</t>
  </si>
  <si>
    <t>Mid</t>
  </si>
  <si>
    <t>End Left</t>
  </si>
  <si>
    <t>End Right</t>
  </si>
  <si>
    <t>Inside 90º Corner</t>
  </si>
  <si>
    <t>Fascia Posts W/3/4” Offset &amp; Attached Bottom Sleeves</t>
  </si>
  <si>
    <t>PPFO1BMID</t>
  </si>
  <si>
    <t>PPFO1BENDL</t>
  </si>
  <si>
    <t>PPFO1BENDR</t>
  </si>
  <si>
    <t>PPFO1BI90</t>
  </si>
  <si>
    <t>PPFO1BI135</t>
  </si>
  <si>
    <t>PPFO1BICUS</t>
  </si>
  <si>
    <t>PPFO1BO90</t>
  </si>
  <si>
    <t>PPFO1BO135</t>
  </si>
  <si>
    <t>PPFO1BOCUS</t>
  </si>
  <si>
    <t>IBC Fascia Posts W/3/4” Offset &amp; Attached Bottom Sleeves</t>
  </si>
  <si>
    <t>PEPF1BMID</t>
  </si>
  <si>
    <t>PEPF1BENDL</t>
  </si>
  <si>
    <t>PEPF1BENDR</t>
  </si>
  <si>
    <t>PEPF1BI90</t>
  </si>
  <si>
    <t>PEPF1BI135</t>
  </si>
  <si>
    <t>PEPF1BICUS</t>
  </si>
  <si>
    <t>PEPF1BO90</t>
  </si>
  <si>
    <t>PEPF1BO135</t>
  </si>
  <si>
    <t>PEPF1BOCUS</t>
  </si>
  <si>
    <t>Sleeves</t>
  </si>
  <si>
    <t>Center Sleeve W/Mount</t>
  </si>
  <si>
    <t>PSSLCTR</t>
  </si>
  <si>
    <t>90º Sleeve W/Mount</t>
  </si>
  <si>
    <t>PSSL90</t>
  </si>
  <si>
    <t>135º Sleeve W/Mount</t>
  </si>
  <si>
    <t>PSSL135</t>
  </si>
  <si>
    <t>End Sleeve W/Mount</t>
  </si>
  <si>
    <t>PSSLEND</t>
  </si>
  <si>
    <t>Custom End Sleeve W/Mount &amp; 1 Turn</t>
  </si>
  <si>
    <t>PSSLENDCUS2</t>
  </si>
  <si>
    <t>Custom One Angle Sleeve W/Mount</t>
  </si>
  <si>
    <t>PSSLCUS1</t>
  </si>
  <si>
    <t>Custom Two Angle Sleeve W/Mount</t>
  </si>
  <si>
    <t>g</t>
  </si>
  <si>
    <t>PSSLCUS2</t>
  </si>
  <si>
    <t>Custom Tee Sleeve W/Mount</t>
  </si>
  <si>
    <t>h</t>
  </si>
  <si>
    <t>PSSLCUSTEE</t>
  </si>
  <si>
    <t>Step Down Sleeve, Notched to fit 1.72 Post</t>
  </si>
  <si>
    <t>i</t>
  </si>
  <si>
    <t>PCPSSD</t>
  </si>
  <si>
    <t xml:space="preserve">Round </t>
  </si>
  <si>
    <t>PRSLCTR</t>
  </si>
  <si>
    <t>PRSL90</t>
  </si>
  <si>
    <t>PRSL135</t>
  </si>
  <si>
    <t>PRSLEND</t>
  </si>
  <si>
    <t>PRSLENDCUS2</t>
  </si>
  <si>
    <t>PRSLCUS1</t>
  </si>
  <si>
    <t>PRSLCUS2</t>
  </si>
  <si>
    <t>PRSLCUSTEE</t>
  </si>
  <si>
    <t>PCPRSD</t>
  </si>
  <si>
    <t>PFSLCTR</t>
  </si>
  <si>
    <t>PFSL90</t>
  </si>
  <si>
    <t>PFSL135</t>
  </si>
  <si>
    <t>PFSLEND</t>
  </si>
  <si>
    <t>PFSLENDCUS2</t>
  </si>
  <si>
    <t>PFSLCUS1</t>
  </si>
  <si>
    <t>PFSLCUS2</t>
  </si>
  <si>
    <t>PFSLCUSTEE</t>
  </si>
  <si>
    <t>Step Down Sleeve, Notched for1.72 Post</t>
  </si>
  <si>
    <t>PCPFSD</t>
  </si>
  <si>
    <t>PCSLCTR</t>
  </si>
  <si>
    <t>PCSL90</t>
  </si>
  <si>
    <t>PCSL135</t>
  </si>
  <si>
    <t>PCSLEND</t>
  </si>
  <si>
    <t>PCSLENDCUS2</t>
  </si>
  <si>
    <t>PCSLCUS1</t>
  </si>
  <si>
    <t>PCSLCUS2</t>
  </si>
  <si>
    <t>PCSLCUSTEE</t>
  </si>
  <si>
    <t>PCPCSD</t>
  </si>
  <si>
    <t>End Caps</t>
  </si>
  <si>
    <t>End Cap W/2 Holes Countersunk</t>
  </si>
  <si>
    <t>j</t>
  </si>
  <si>
    <t>PCPS</t>
  </si>
  <si>
    <t>Sleeve Cap - Top Rail</t>
  </si>
  <si>
    <t>k</t>
  </si>
  <si>
    <t>PCPSSL</t>
  </si>
  <si>
    <t>PCPR</t>
  </si>
  <si>
    <t>PCPRSL</t>
  </si>
  <si>
    <t>PCPF</t>
  </si>
  <si>
    <t>PCPFSL</t>
  </si>
  <si>
    <t>PCPC</t>
  </si>
  <si>
    <t>PCPCSL</t>
  </si>
  <si>
    <t>Post Mount Plates</t>
  </si>
  <si>
    <t>Component Top Rail Post Mount Plate - Mill Finish</t>
  </si>
  <si>
    <t>l</t>
  </si>
  <si>
    <t>MPLPMC</t>
  </si>
  <si>
    <t>Welded Picket Post Mount Plate - Mill Finish</t>
  </si>
  <si>
    <t>m</t>
  </si>
  <si>
    <t>MPLPMW</t>
  </si>
  <si>
    <t>Welded Picket Slat Post Mount Plate</t>
  </si>
  <si>
    <t>n</t>
  </si>
  <si>
    <t>PPLPMSTR</t>
  </si>
  <si>
    <t>Stair  Sleeves</t>
  </si>
  <si>
    <t>Custom End Sleeve W/Sloped Mount</t>
  </si>
  <si>
    <t>PSSLENDCUS1</t>
  </si>
  <si>
    <t>Custom Sleeve W/Mount &amp; 1 Turn</t>
  </si>
  <si>
    <t>Custom Sleeve W/Mount- Two Angle</t>
  </si>
  <si>
    <t>Stair Sleeve - Up Or Down - Any Angle</t>
  </si>
  <si>
    <t>PCPSSTR</t>
  </si>
  <si>
    <t>Flex Rail Stair Sleeve - Down, Notched for 1.72 Post</t>
  </si>
  <si>
    <t>PRSLENDCUS1</t>
  </si>
  <si>
    <t>PCPRSTR</t>
  </si>
  <si>
    <t>PFSLENDCUS1</t>
  </si>
  <si>
    <t>PCPFSTR</t>
  </si>
  <si>
    <t>Flex Rail Stair Sleeve - Down, Notched to fit 1.72 Post</t>
  </si>
  <si>
    <t>PCSLENDCUS1</t>
  </si>
  <si>
    <t>PCPCSTR</t>
  </si>
  <si>
    <t>Stair Post Mount Plate</t>
  </si>
  <si>
    <t>Wall Mounts</t>
  </si>
  <si>
    <t>Straight</t>
  </si>
  <si>
    <t>PSWM180</t>
  </si>
  <si>
    <t>22 1/2º Left</t>
  </si>
  <si>
    <t>PSWM22L</t>
  </si>
  <si>
    <t>22 1/2º Right</t>
  </si>
  <si>
    <t>PSWM22R</t>
  </si>
  <si>
    <t>45º Left</t>
  </si>
  <si>
    <t>PSWM45L</t>
  </si>
  <si>
    <t>45º Right</t>
  </si>
  <si>
    <t>PSWM45R</t>
  </si>
  <si>
    <t>90º Left</t>
  </si>
  <si>
    <t>PSWM90L</t>
  </si>
  <si>
    <t>90º Right</t>
  </si>
  <si>
    <t>PSWM90R</t>
  </si>
  <si>
    <t>Custom 1 Angle</t>
  </si>
  <si>
    <t>PSWMCUS1</t>
  </si>
  <si>
    <t>Custom 2 Angle</t>
  </si>
  <si>
    <t>PSWMCUS2</t>
  </si>
  <si>
    <t>Custom 3 Angle</t>
  </si>
  <si>
    <t>PSWMCUS3</t>
  </si>
  <si>
    <t>PRWM180</t>
  </si>
  <si>
    <t>PRWM22L</t>
  </si>
  <si>
    <t>PRWM22R</t>
  </si>
  <si>
    <t>PRWM45L</t>
  </si>
  <si>
    <t>PRWM45R</t>
  </si>
  <si>
    <t>PRWM90L</t>
  </si>
  <si>
    <t>PRWM90R</t>
  </si>
  <si>
    <t>PRWMCUS1</t>
  </si>
  <si>
    <t>PRWMCUS2</t>
  </si>
  <si>
    <t>PRWMCUS3</t>
  </si>
  <si>
    <t>PFWM180</t>
  </si>
  <si>
    <t>PFWM22L</t>
  </si>
  <si>
    <t>PFWM22R</t>
  </si>
  <si>
    <t>PFWM45L</t>
  </si>
  <si>
    <t>PFWM45R</t>
  </si>
  <si>
    <t>PFWM90L</t>
  </si>
  <si>
    <t>PFWM90R</t>
  </si>
  <si>
    <t>PFWMCUS1</t>
  </si>
  <si>
    <t>PFWMCUS2</t>
  </si>
  <si>
    <t>PFWMCUS3</t>
  </si>
  <si>
    <t>PCWM180</t>
  </si>
  <si>
    <t>PCWM22L</t>
  </si>
  <si>
    <t>PCWM22R</t>
  </si>
  <si>
    <t>PCWM45L</t>
  </si>
  <si>
    <t>PCWM45R</t>
  </si>
  <si>
    <t>PCWM90L</t>
  </si>
  <si>
    <t>PCWM90R</t>
  </si>
  <si>
    <t>PCWMCUS1</t>
  </si>
  <si>
    <t>PCWMCUS2</t>
  </si>
  <si>
    <t>PCWMCUS3</t>
  </si>
  <si>
    <t>Bottom/Mid-Rail</t>
  </si>
  <si>
    <t>PBWM180</t>
  </si>
  <si>
    <t>PBWM22L</t>
  </si>
  <si>
    <t>PBWM22R</t>
  </si>
  <si>
    <t xml:space="preserve">45º Left </t>
  </si>
  <si>
    <t>PBWM45L</t>
  </si>
  <si>
    <t>PBWM45R</t>
  </si>
  <si>
    <t>PBWM90L</t>
  </si>
  <si>
    <t>PBWM90R</t>
  </si>
  <si>
    <t>Custom One Angle</t>
  </si>
  <si>
    <t>PBWMCUS1</t>
  </si>
  <si>
    <t>Custom Two Angle</t>
  </si>
  <si>
    <t>PBWMCUS2</t>
  </si>
  <si>
    <t>Custom Three Angle</t>
  </si>
  <si>
    <t>PBWMCUS3</t>
  </si>
  <si>
    <t>Stair - Up or Down - Any Angle</t>
  </si>
  <si>
    <t>PBWMSTR</t>
  </si>
  <si>
    <t>Wall Mount Plate</t>
  </si>
  <si>
    <t>PPLTBWM</t>
  </si>
  <si>
    <t>PDWM180</t>
  </si>
  <si>
    <t>PDWM22L</t>
  </si>
  <si>
    <t>PDWM22R</t>
  </si>
  <si>
    <t>PDWM45L</t>
  </si>
  <si>
    <t>PDWM45R</t>
  </si>
  <si>
    <t>PDWM90L</t>
  </si>
  <si>
    <t>PDWM90R</t>
  </si>
  <si>
    <t>PDWMCUS1</t>
  </si>
  <si>
    <t>PDWMCUS2</t>
  </si>
  <si>
    <t>PDWMCUS3</t>
  </si>
  <si>
    <t>Lineal Sleeve</t>
  </si>
  <si>
    <t>Sleeve Material w/screw ports</t>
  </si>
  <si>
    <t>PLBRS20</t>
  </si>
  <si>
    <t>PLBRSCUT</t>
  </si>
  <si>
    <t>PLDMS20</t>
  </si>
  <si>
    <t>PLDMSCUT</t>
  </si>
  <si>
    <t>Sleeve Parts</t>
  </si>
  <si>
    <t>PBSLW180</t>
  </si>
  <si>
    <t>PBSLW22L</t>
  </si>
  <si>
    <t>PBSLW22R</t>
  </si>
  <si>
    <t>PBSLW45L</t>
  </si>
  <si>
    <t>PBSLW45R</t>
  </si>
  <si>
    <t>PBSLWCUS1</t>
  </si>
  <si>
    <t>PDSLW180</t>
  </si>
  <si>
    <t>PDSLW22L</t>
  </si>
  <si>
    <t>PDSLW22R</t>
  </si>
  <si>
    <t>PDSLW45L</t>
  </si>
  <si>
    <t>PDSLW45R</t>
  </si>
  <si>
    <t>PDSLWCUS1</t>
  </si>
  <si>
    <t>Inside Sleeve Lengths For Top Rail</t>
  </si>
  <si>
    <t>Square, Round &amp; Colonial</t>
  </si>
  <si>
    <t>All Inside Sleeve Are Mill Finish</t>
  </si>
  <si>
    <t>Inside Sleeve Material W/Screw Ports - Top Rail</t>
  </si>
  <si>
    <t>MLTINSLVCUT</t>
  </si>
  <si>
    <t>Inside Sleeve Wall Mounts For Top Rail</t>
  </si>
  <si>
    <t>All Inside Wall Mounts Are Mill Finish</t>
  </si>
  <si>
    <t>Straight - Mill Finish</t>
  </si>
  <si>
    <t>MTINWM180</t>
  </si>
  <si>
    <t>22.5º Left - Mill Finish</t>
  </si>
  <si>
    <t>MTINWM22L</t>
  </si>
  <si>
    <t>22.5º Right - Mill Finish</t>
  </si>
  <si>
    <t>MTINWM22R</t>
  </si>
  <si>
    <t>45º Left - Mill Finish</t>
  </si>
  <si>
    <t>MTINWM45L</t>
  </si>
  <si>
    <t>45º Right - Mill Finish</t>
  </si>
  <si>
    <t>MTINWM45R</t>
  </si>
  <si>
    <t>Custom Angle - Mill Finish</t>
  </si>
  <si>
    <t>MTINWMCUS</t>
  </si>
  <si>
    <t>Bottom/Mid Rail Clip &amp; Jigs</t>
  </si>
  <si>
    <t>Bottom, Mid &amp; Double Rails</t>
  </si>
  <si>
    <t>All Clips Are Mill Finish</t>
  </si>
  <si>
    <t>Bottom Rail Clip</t>
  </si>
  <si>
    <t>MBRCLP</t>
  </si>
  <si>
    <t>Rail Clip Material W/Screw Ports - Bottom Rail, 20 Ft</t>
  </si>
  <si>
    <t>MLBRCLP240</t>
  </si>
  <si>
    <t>Bottom Rail Sleeve/Clip Jig - 1.72" &amp; 2 1/2" Post - Straight</t>
  </si>
  <si>
    <t>RPLBRJIG</t>
  </si>
  <si>
    <t>Glass Insert for Component Glass Rail</t>
  </si>
  <si>
    <t>Glass Insert - Top - Clear - 10’</t>
  </si>
  <si>
    <t>10’</t>
  </si>
  <si>
    <t>RPLTGL</t>
  </si>
  <si>
    <t>Glass Insert - Top - Clear - Box of 10’</t>
  </si>
  <si>
    <t>42pc</t>
  </si>
  <si>
    <t>Box</t>
  </si>
  <si>
    <t>RPLTGLBX</t>
  </si>
  <si>
    <t>Glass Insert - Bottom/Mid - Black - 10’</t>
  </si>
  <si>
    <t>RPLBGL</t>
  </si>
  <si>
    <t>Glass Insert - Bottom - Black - Box Of 42 Lengths</t>
  </si>
  <si>
    <t>RPLBGLBX</t>
  </si>
  <si>
    <t>Setting Block - Rubber - 1/2 x 3/8 - Per Foot</t>
  </si>
  <si>
    <t>RPLSBFT</t>
  </si>
  <si>
    <t>Setting Block - Rubber - 1/2 x 3/8  X 4 Inches Long</t>
  </si>
  <si>
    <t>4”</t>
  </si>
  <si>
    <t>RPLSB4</t>
  </si>
  <si>
    <t>Support Legs</t>
  </si>
  <si>
    <t>Leg - Fascia Support</t>
  </si>
  <si>
    <t>PLGFAS</t>
  </si>
  <si>
    <t>Support Leg Material</t>
  </si>
  <si>
    <t>Leg Material - Bottom Rail Support - 20 Ft Length</t>
  </si>
  <si>
    <t>PLLEG20</t>
  </si>
  <si>
    <t>Leg Material - Bottom Rail Support - Cut to Length</t>
  </si>
  <si>
    <t>PLLEGCUT</t>
  </si>
  <si>
    <t>Handrail</t>
  </si>
  <si>
    <t>1.9” Pipe Rail</t>
  </si>
  <si>
    <t>PLPHR1920</t>
  </si>
  <si>
    <t>PLPHR19CUT</t>
  </si>
  <si>
    <t>Inside Sleeve For Top Rail</t>
  </si>
  <si>
    <t>(Mill Finish)</t>
  </si>
  <si>
    <t>Inside Sleeve Material W/Screw Ports</t>
  </si>
  <si>
    <t>Ft</t>
  </si>
  <si>
    <t>Inside Sleeve Material For 1.9” Pipe</t>
  </si>
  <si>
    <t>1.9” Pipe Rail - Inside Sleeve</t>
  </si>
  <si>
    <t>Inside Sleeve - 1.9" Pipe Rail (1 1/4" Sch 40)</t>
  </si>
  <si>
    <t>MLPHR19INSLVCUT</t>
  </si>
  <si>
    <t>Top Rail Parts for Handrail</t>
  </si>
  <si>
    <t>Square, Round &amp; Colonial Parts</t>
  </si>
  <si>
    <t>Top Rail Handrail - Side Mount - Regular Extension</t>
  </si>
  <si>
    <t>PSMTRR</t>
  </si>
  <si>
    <t>Top Rail Handrail - Side Mount - 2 Inch Extension</t>
  </si>
  <si>
    <t>PSMTRR2</t>
  </si>
  <si>
    <t>1.9” Pipe Rail Parts for Handrail</t>
  </si>
  <si>
    <t>1.9” Pipe Rail - Parts</t>
  </si>
  <si>
    <t>90º Corner</t>
  </si>
  <si>
    <t>PPHELB1990</t>
  </si>
  <si>
    <t>Custom Angle</t>
  </si>
  <si>
    <t>PPHELB19CUS</t>
  </si>
  <si>
    <t>1.9 Pipe Handrail - Cap</t>
  </si>
  <si>
    <t>PCPPH19</t>
  </si>
  <si>
    <t>1.9 Pipe Handrail - Wall Mount W/Welded Plate - Straight</t>
  </si>
  <si>
    <t>PPHWM19180</t>
  </si>
  <si>
    <t>1.9 Pipe Handrail - Side Mount - Regular</t>
  </si>
  <si>
    <t>1.9 Pipe Handrail - Side Mount - Angled Left or Right Up</t>
  </si>
  <si>
    <t xml:space="preserve">Charge - 1 Mitred Corner - Cut, Weld,Buff &amp; Paint </t>
  </si>
  <si>
    <t>-</t>
  </si>
  <si>
    <t>CHGMITRE</t>
  </si>
  <si>
    <t>Gates</t>
  </si>
  <si>
    <t>Welded Glass Gate - Up to 14 Sq/Ft</t>
  </si>
  <si>
    <t>PGTWSGL</t>
  </si>
  <si>
    <t>Welded Picket Gate - Up to 14 Sq/Ft</t>
  </si>
  <si>
    <t>PGTWSWP</t>
  </si>
  <si>
    <t>PGTWRGL</t>
  </si>
  <si>
    <t>PGTWRWP</t>
  </si>
  <si>
    <t>PGTWFGL</t>
  </si>
  <si>
    <t>PGTWFWP</t>
  </si>
  <si>
    <t>PGTWCGL</t>
  </si>
  <si>
    <t>PGTWCWP</t>
  </si>
  <si>
    <t>Gate Parts</t>
  </si>
  <si>
    <t>Hinge - Female</t>
  </si>
  <si>
    <t>PGTHF</t>
  </si>
  <si>
    <t>Hinge - Male</t>
  </si>
  <si>
    <t>PGTHM</t>
  </si>
  <si>
    <t>Hinge - Male - (For Flat Top)*</t>
  </si>
  <si>
    <t>PGTHMFT</t>
  </si>
  <si>
    <t>Spring Hinge - Black</t>
  </si>
  <si>
    <t>Pair</t>
  </si>
  <si>
    <t>RGTHS</t>
  </si>
  <si>
    <t>Flip Up Latch &amp; Striker Bolt</t>
  </si>
  <si>
    <t>PGTFL</t>
  </si>
  <si>
    <t>Cane Bolt W/2 Holders</t>
  </si>
  <si>
    <t>PGTCB</t>
  </si>
  <si>
    <t>Spring Latch</t>
  </si>
  <si>
    <t>PGTSL</t>
  </si>
  <si>
    <t>Striker Plate</t>
  </si>
  <si>
    <t>PGTSP</t>
  </si>
  <si>
    <t>Gate Kit Post - 1.72 - 42” Rail Height (Hinges Not Included)</t>
  </si>
  <si>
    <t>PGTKITPST</t>
  </si>
  <si>
    <t>Square Top End Sleeve W/Mount</t>
  </si>
  <si>
    <t>Round Top End Sleeve W/Mount</t>
  </si>
  <si>
    <t>Flat Top End Sleeve W/Mount</t>
  </si>
  <si>
    <t>Colonial Top End Sleeve W/Mount</t>
  </si>
  <si>
    <t>Infinity - Surface Mounted Posts</t>
  </si>
  <si>
    <t>For use with 10mm &amp; 12mm Glass Unless Noted Otherwise - Glass Not Included In Any Case.</t>
  </si>
  <si>
    <t>24” Post Height (12mm Glass Only)</t>
  </si>
  <si>
    <t>Mid Post</t>
  </si>
  <si>
    <t>24”</t>
  </si>
  <si>
    <t>PPSINF24MID</t>
  </si>
  <si>
    <t>Outside Corner Post</t>
  </si>
  <si>
    <t>PPSINF24OUT</t>
  </si>
  <si>
    <t>Inside Corner Post</t>
  </si>
  <si>
    <t>PPSINF24IN</t>
  </si>
  <si>
    <t>PPSINF36MID</t>
  </si>
  <si>
    <t>PPSINF36OUT</t>
  </si>
  <si>
    <t>PPSINF36IN</t>
  </si>
  <si>
    <t>Wall Track - 36” Rail Height</t>
  </si>
  <si>
    <t>PINFWM36</t>
  </si>
  <si>
    <t>PPSINF42MID</t>
  </si>
  <si>
    <t>PPSINF42OUT</t>
  </si>
  <si>
    <t>PPSINF42IN</t>
  </si>
  <si>
    <t>PINFWM42</t>
  </si>
  <si>
    <t>Infinity - Surface Mounted 2.5” Posts</t>
  </si>
  <si>
    <t>End Post - Left</t>
  </si>
  <si>
    <t>PPSINF362ENDL</t>
  </si>
  <si>
    <t>End Post - Right</t>
  </si>
  <si>
    <t>PPSINF362ENDR</t>
  </si>
  <si>
    <t>PPSINF422ENDL</t>
  </si>
  <si>
    <t>PPSINF422ENDR</t>
  </si>
  <si>
    <t>Infinity - Surface Mounted Post Parts</t>
  </si>
  <si>
    <t>2.5” Pyramid Post Cap</t>
  </si>
  <si>
    <t>Base Plate Gasket, 4x4 Rubber</t>
  </si>
  <si>
    <t>Base Plate E-Z Shim (Bag of 10)</t>
  </si>
  <si>
    <t>Infinity - Fascia Mounted Posts</t>
  </si>
  <si>
    <t>32”</t>
  </si>
  <si>
    <t>PPFINF24MID</t>
  </si>
  <si>
    <t>PPFINF24OUT</t>
  </si>
  <si>
    <t>PPFINF24IN</t>
  </si>
  <si>
    <t>42”</t>
  </si>
  <si>
    <t>PPFINF36MID</t>
  </si>
  <si>
    <t>PPFINF36OUT</t>
  </si>
  <si>
    <t>PPFINF36IN</t>
  </si>
  <si>
    <t>PPFINF42MID</t>
  </si>
  <si>
    <t>PPFINF42OUT</t>
  </si>
  <si>
    <t>PPFINF42IN</t>
  </si>
  <si>
    <t>Infinity - Fascia Mounted 2.5” Posts</t>
  </si>
  <si>
    <t>45”</t>
  </si>
  <si>
    <t>PPFINF362ENDL</t>
  </si>
  <si>
    <t>PPFINF362ENDR</t>
  </si>
  <si>
    <t>51”</t>
  </si>
  <si>
    <t>PPFINF422ENDL</t>
  </si>
  <si>
    <t>PPFINF422ENDR</t>
  </si>
  <si>
    <t>2.5” Transition Post Parts</t>
  </si>
  <si>
    <t>2.5”</t>
  </si>
  <si>
    <t>Infinity - Fascia Base Plates</t>
  </si>
  <si>
    <t>Standard Offset - 7/16”, 5” Tall</t>
  </si>
  <si>
    <t>Fascia Base Plate Left - For Mid &amp; Inside Corner Posts</t>
  </si>
  <si>
    <t>PPLFINFLT1</t>
  </si>
  <si>
    <t>Fascia Base Plate Right - For Mid &amp; Inside Corner Posts</t>
  </si>
  <si>
    <t>PPLFINFRT1</t>
  </si>
  <si>
    <t>Fascia Base Plate Left - For Outside Corner Posts</t>
  </si>
  <si>
    <t>PPLFINFLT2</t>
  </si>
  <si>
    <t>Fascia Base Plate Right - For Outside Corner Posts</t>
  </si>
  <si>
    <t>PPLFINFRT2</t>
  </si>
  <si>
    <t>Extended Fascia Base Plate Left - For Mid &amp; Inside Corner Posts</t>
  </si>
  <si>
    <t>PPLFINFLT3</t>
  </si>
  <si>
    <t>Extended Fascia Base Plate Right - For Mid &amp; Inside Corner Posts</t>
  </si>
  <si>
    <t>PPLFINFRT3</t>
  </si>
  <si>
    <t>Extended Fascia Base Plate Left - For Outside Corner Posts</t>
  </si>
  <si>
    <t>PPLFINFLT4</t>
  </si>
  <si>
    <t>Extended Fascia Base Plate Right - For Outside Corner Posts</t>
  </si>
  <si>
    <t>PPLFINFRT4</t>
  </si>
  <si>
    <t>Infinity - Fascia Base Plate Spacers</t>
  </si>
  <si>
    <t>Various thicknesses, 5” Tall</t>
  </si>
  <si>
    <t>Fascia Mount Base Plate Spacer 1/4" Thick</t>
  </si>
  <si>
    <t>PPLFINFSH25</t>
  </si>
  <si>
    <t>Fascia Mount Base Plate Spacer  3/8" Thick</t>
  </si>
  <si>
    <t>PPLFINFSH38</t>
  </si>
  <si>
    <t>Fascia Mount Base Plate Spacer 1/2" Thick</t>
  </si>
  <si>
    <t>PPLFINFSH50</t>
  </si>
  <si>
    <t>RPLFINFSH25</t>
  </si>
  <si>
    <t>Infinity - Parts</t>
  </si>
  <si>
    <t>Plastic Inserts</t>
  </si>
  <si>
    <t>Glass Insert - Infinity 12mm - Black 12 Ft</t>
  </si>
  <si>
    <t>12’</t>
  </si>
  <si>
    <t>RPLINFGL12</t>
  </si>
  <si>
    <t>Glass Wedge - Infinity 12mm - Black 12 Ft Length</t>
  </si>
  <si>
    <t>RPLINFGW12</t>
  </si>
  <si>
    <t>Setting Block - Infinity Topless Glass - Black 10 Ft</t>
  </si>
  <si>
    <t>RPLINFSB</t>
  </si>
  <si>
    <t>Glass Wedge - Infinity 12mm - Black, 3 Inches Long</t>
  </si>
  <si>
    <t>3”</t>
  </si>
  <si>
    <t>Setting Block - Infinity Topless Glass - Black, 1 1/2 Inches Long</t>
  </si>
  <si>
    <t>1.5”</t>
  </si>
  <si>
    <t>RPLINFSB15</t>
  </si>
  <si>
    <t>Top Caps for End Posts</t>
  </si>
  <si>
    <t>Top Cap - Infinity Post - 1/4" Thick</t>
  </si>
  <si>
    <t>PCPINF</t>
  </si>
  <si>
    <t>Infinity - Add-Ons</t>
  </si>
  <si>
    <t>Mid Post Base Plate Cover</t>
  </si>
  <si>
    <t>PBCII</t>
  </si>
  <si>
    <t>Outside Corner Post Base Plate Cover</t>
  </si>
  <si>
    <t>PBCIM</t>
  </si>
  <si>
    <t>Inside Corner Post Base Plate Cover</t>
  </si>
  <si>
    <t>PBCIO</t>
  </si>
  <si>
    <t>Glass Shelf Brackets for 12mm Glass</t>
  </si>
  <si>
    <t>PSHLINF12</t>
  </si>
  <si>
    <t>Qty</t>
  </si>
  <si>
    <t>Net Price</t>
  </si>
  <si>
    <t>#8X1/2 - F.H. Tec Screw - Stainless - Mill Finish</t>
  </si>
  <si>
    <t>RSC08X050FTS</t>
  </si>
  <si>
    <t>RSC08X125FHC</t>
  </si>
  <si>
    <t>RSC10X063FHS</t>
  </si>
  <si>
    <t>#10x3/4 - P.H. Tec Screw - Stainless - Mill Finish</t>
  </si>
  <si>
    <t>RSC10X075PTS</t>
  </si>
  <si>
    <t>RSC10X150PHS</t>
  </si>
  <si>
    <t>#10x2 - F.H. Screw - Stainless - Mill Finish</t>
  </si>
  <si>
    <t>RSC10X200FHDSS</t>
  </si>
  <si>
    <t>#10X2 - F.H.W. Screw - Zinc - Mill Finish</t>
  </si>
  <si>
    <t>RSC10X200FHWS</t>
  </si>
  <si>
    <t>#12x1 1/2 - P.H. Screw - Stainless - Mill Finish</t>
  </si>
  <si>
    <t>RSC12X150PHS</t>
  </si>
  <si>
    <t>#14x2 - P.H. Screw - Stainless - Mill Finish</t>
  </si>
  <si>
    <t>RSC14X200PHS</t>
  </si>
  <si>
    <t>RSC14X300FHD</t>
  </si>
  <si>
    <t>#14x3 - P.H. Screw - Stainless - Mill Finish</t>
  </si>
  <si>
    <t>o</t>
  </si>
  <si>
    <t>RSC14X300PHS</t>
  </si>
  <si>
    <t>p</t>
  </si>
  <si>
    <t>5/16x5 - H.H. Screw - Stainless - Mill Finish</t>
  </si>
  <si>
    <t>q</t>
  </si>
  <si>
    <t>RSC516X500HHS</t>
  </si>
  <si>
    <t>Screws - Painted (Made To Order)</t>
  </si>
  <si>
    <t>#8x1/2 - F.H. Tec Screw - Stainless</t>
  </si>
  <si>
    <t>PSC08X050FTS</t>
  </si>
  <si>
    <t>#8x1 1/4 - F.H. #5 Head Screw -JS500</t>
  </si>
  <si>
    <t>PSC08X125FHC</t>
  </si>
  <si>
    <t>#10x5/8 FH Screw - W/#7 Head - Stainless</t>
  </si>
  <si>
    <t>PSC10X063FHS</t>
  </si>
  <si>
    <t>#10x3/4 - P.H. Tec Screw - Stainless</t>
  </si>
  <si>
    <t>PSC10X075PTS</t>
  </si>
  <si>
    <t>#12x1 1/2 - P.H. Screw - Stainless</t>
  </si>
  <si>
    <t>PSC12X150PHS</t>
  </si>
  <si>
    <t>#14x2 - P.H. Screw - Stainless</t>
  </si>
  <si>
    <t>PSC14X200PHS</t>
  </si>
  <si>
    <t>#14x3 - P.H. Screw - Stainless</t>
  </si>
  <si>
    <t>PSC14X300PHS</t>
  </si>
  <si>
    <t>Custom Color Powder Coated Screws</t>
  </si>
  <si>
    <t>Custom Color Screw Setup Per Each Color</t>
  </si>
  <si>
    <t>CHGCCSCRSETUP</t>
  </si>
  <si>
    <t>Nylon Insulators &amp; Concrete Plugs</t>
  </si>
  <si>
    <t>#14 Screw Nylon Insulator - 1/4 Inside Dimension</t>
  </si>
  <si>
    <t>RPLSCI14</t>
  </si>
  <si>
    <t>5/16" Screw Nylon Insulator - 5/16 Inside Dimension</t>
  </si>
  <si>
    <t>RPLSCI516</t>
  </si>
  <si>
    <t>Concrete Plastic Plugs - 5/16 Drill Hole - MUNGO</t>
  </si>
  <si>
    <t>RSCPLUGMUNGO</t>
  </si>
  <si>
    <t>Custom Color Powder Coating</t>
  </si>
  <si>
    <t>Note: Unless noted to be mill finish, all product includes powder coating in any of our great Innovative series colors.</t>
  </si>
  <si>
    <t>Custom Powder Coating</t>
  </si>
  <si>
    <t>Custom Color Powder Charge Per Box</t>
  </si>
  <si>
    <t>CHGCCPOWDER</t>
  </si>
  <si>
    <t>CALL</t>
  </si>
  <si>
    <t>Custom Color Setup Up Charge Per Each Color*</t>
  </si>
  <si>
    <t>CHGCCSETUP</t>
  </si>
  <si>
    <t xml:space="preserve">Minimum Paint Set Up Charge </t>
  </si>
  <si>
    <t>CHGSCSETUP</t>
  </si>
  <si>
    <t xml:space="preserve">Touch-Up Paint - Aerosol - 16 Ounce </t>
  </si>
  <si>
    <t>Paint Cans</t>
  </si>
  <si>
    <t>Mock-Ups</t>
  </si>
  <si>
    <t>Round Top Glass Railing Mock Up</t>
  </si>
  <si>
    <t>SAMPLERG</t>
  </si>
  <si>
    <t>Square Top Picket Railing Mock Up</t>
  </si>
  <si>
    <t>SAMPLESP</t>
  </si>
  <si>
    <t>Colonial Top Slat Picket Railing Mock Up</t>
  </si>
  <si>
    <t>SAMPLECS</t>
  </si>
  <si>
    <t>Flat Top Glass Railing Mock Up</t>
  </si>
  <si>
    <t>SAMPLEFG</t>
  </si>
  <si>
    <t>1.72 IBC Post - Plain W/Welded &amp; Screwed 4X4X3/8 Base - 12" Tall</t>
  </si>
  <si>
    <t>SAMPLEPOST</t>
  </si>
  <si>
    <t>Infinity 18” Sample Post</t>
  </si>
  <si>
    <t>Color Chips</t>
  </si>
  <si>
    <t>Innovative Series Color Pack - (Set of 12 Colors )</t>
  </si>
  <si>
    <t>SAMPLECI</t>
  </si>
  <si>
    <t>Brochures</t>
  </si>
  <si>
    <t>Each is a Double Sided Single Page Glossy Brochure</t>
  </si>
  <si>
    <t>Component Glass Systems</t>
  </si>
  <si>
    <t>BROCHUREG</t>
  </si>
  <si>
    <t>Welded Picket Systems</t>
  </si>
  <si>
    <t>BROCHUREP</t>
  </si>
  <si>
    <t>Infinity Topless Glass System</t>
  </si>
  <si>
    <t>BROCHUREINF</t>
  </si>
  <si>
    <t>PLBRCCUT</t>
  </si>
  <si>
    <t>PLBRC20</t>
  </si>
  <si>
    <t>4'</t>
  </si>
  <si>
    <t>PFRSP4</t>
  </si>
  <si>
    <t>MLTINSLV20</t>
  </si>
  <si>
    <t>#10x 1 - F.H. Tec Screw Stainless - Mill Finish</t>
  </si>
  <si>
    <t>Screws - Mill Finish</t>
  </si>
  <si>
    <t>RSC10X100FHS</t>
  </si>
  <si>
    <t>5/16x5 - H.H. Screw - Stainless</t>
  </si>
  <si>
    <t>PSC516X500HHS</t>
  </si>
  <si>
    <t>Standard (Non-Stocking) Color Screw Setup Per Each Color</t>
  </si>
  <si>
    <t>CHGSCSCRSETUP</t>
  </si>
  <si>
    <t>Factor above 2015 base price</t>
  </si>
  <si>
    <t>[IE 1.06 is a 6% increase from]</t>
  </si>
  <si>
    <t>40 1/4”</t>
  </si>
  <si>
    <t>34 1/4”</t>
  </si>
  <si>
    <t>Stair, 42 1/8” Rail Height</t>
  </si>
  <si>
    <t xml:space="preserve">Level, 36 1/8” Rail Height </t>
  </si>
  <si>
    <t xml:space="preserve">Level, 42 1/8” Rail Height </t>
  </si>
  <si>
    <t>Stair, 36 1/8” Rail Height</t>
  </si>
  <si>
    <t>Picket Panel - 42 1/8” Rail Height</t>
  </si>
  <si>
    <t>Level, 42 1/8” Rail Height</t>
  </si>
  <si>
    <t>36 1/8” Rail Height</t>
  </si>
  <si>
    <t>42 1/8” Rail Height</t>
  </si>
  <si>
    <t>2.5 Plain Post for 36 1/8” Rail Height without Post Cap</t>
  </si>
  <si>
    <t>2.5 Plain Post for 42 1/8” Rail Height without Post Cap</t>
  </si>
  <si>
    <t>Welded Picket Post Mount Plate - Powder Coated</t>
  </si>
  <si>
    <t>PPLPMW</t>
  </si>
  <si>
    <t>42 1/8” Rail Height, 2.5” Transition Posts</t>
  </si>
  <si>
    <t>36 1/8” Rail Height , 2.5” Transition Posts</t>
  </si>
  <si>
    <t>Wall Track - 42 1/8” Rail Height</t>
  </si>
  <si>
    <t xml:space="preserve">42 1/8” Rail Height </t>
  </si>
  <si>
    <t xml:space="preserve">36 1/8” Rail Height </t>
  </si>
  <si>
    <t>Extended Offset - 1 1/2”, 5” Tall</t>
  </si>
  <si>
    <t>Robertson Bits</t>
  </si>
  <si>
    <t>Base Plate Cover - 1.72 Base Cover</t>
  </si>
  <si>
    <t>PBC17244</t>
  </si>
  <si>
    <t>Plate - 2 1/2 Post Base - 4X4X3/8</t>
  </si>
  <si>
    <t>4" Post</t>
  </si>
  <si>
    <t>4" Plain Post 36 1/8" Rail Height without Post Cap</t>
  </si>
  <si>
    <t>37"</t>
  </si>
  <si>
    <t>PPS442</t>
  </si>
  <si>
    <t>PPS436</t>
  </si>
  <si>
    <t>43"</t>
  </si>
  <si>
    <t>4" Plain Post 42 1/8" Rail Height without Post Cap</t>
  </si>
  <si>
    <t>4" Post Parts</t>
  </si>
  <si>
    <t>4" Pyramid Cap</t>
  </si>
  <si>
    <t>PBC25044</t>
  </si>
  <si>
    <t>PCP400</t>
  </si>
  <si>
    <t>Note: it is advisable to use a construction silicone at glass for corner and end posts.</t>
  </si>
  <si>
    <t>RDBR2X350</t>
  </si>
  <si>
    <t>Apex Roberston Driver Bit #2 – 3 ½” Long</t>
  </si>
  <si>
    <t>Roberston Driver Bit #2 – 6” Long</t>
  </si>
  <si>
    <t>RDBR2X600</t>
  </si>
  <si>
    <t>Apex Roberston Driver Bit #3 – 3 ½” Long</t>
  </si>
  <si>
    <t>RDBR3X350</t>
  </si>
  <si>
    <t>Roberston Driver Bit #3 – 6” Long</t>
  </si>
  <si>
    <t>RDBR3X600</t>
  </si>
  <si>
    <t>Leg - Surface Support - 1 7/8 Inch Bottom Rail Gap</t>
  </si>
  <si>
    <t>Leg Gasket - Neoprene - 1/8” x 1 7/16” x 5/8”</t>
  </si>
  <si>
    <t>1/8”</t>
  </si>
  <si>
    <t>RPLBPGLG</t>
  </si>
  <si>
    <t>Mid Rails</t>
  </si>
  <si>
    <t>PPLB2504438</t>
  </si>
  <si>
    <t xml:space="preserve">CRL Neutral Cure Silicone - Cartridge </t>
  </si>
  <si>
    <t>305ml</t>
  </si>
  <si>
    <t>RSILRTV408</t>
  </si>
  <si>
    <t>Infinity - Construction Adhesive</t>
  </si>
  <si>
    <t>Plate - 1.72 Post Base - 4X4X3/8</t>
  </si>
  <si>
    <t>Powder Coating</t>
  </si>
  <si>
    <t>BROCHUREPC</t>
  </si>
  <si>
    <t>PCP172</t>
  </si>
  <si>
    <t>PCP250</t>
  </si>
  <si>
    <t>ALG</t>
  </si>
  <si>
    <t>MLPHR19INSLV20</t>
  </si>
  <si>
    <t>PBC40066</t>
  </si>
  <si>
    <t>4" Post 2 Piece Base Plate Cover Set</t>
  </si>
  <si>
    <t>PEPF1I135</t>
  </si>
  <si>
    <t>RPLINFGW123</t>
  </si>
  <si>
    <t>APSINF18END-12MM</t>
  </si>
  <si>
    <t>Standard Product</t>
  </si>
  <si>
    <t>Infinity Product</t>
  </si>
  <si>
    <t>Multiplier</t>
  </si>
  <si>
    <t>Discount %</t>
  </si>
  <si>
    <t>Dealer Price</t>
  </si>
  <si>
    <t>RSCS10/32X3/16SSC</t>
  </si>
  <si>
    <t>PCP250INSIDE</t>
  </si>
  <si>
    <t>2 1/2" Pyramid Cap - Inside Fit</t>
  </si>
  <si>
    <t>2 1/2" Base Plate Cover</t>
  </si>
  <si>
    <t>Glass Insert - Infinity 13mm - Black 10 Ft</t>
  </si>
  <si>
    <t>RPLINFGL13</t>
  </si>
  <si>
    <t>#10-32x3/16 - H.D.C. Set Screw - Stainless - Mill Finish</t>
  </si>
  <si>
    <t>#14x3 - F.H. Screw - Yellow Zinc -Mill Finish</t>
  </si>
  <si>
    <t>#10x5/8 F.H. Screw W/#7 Head - Stainless - Mill Finish</t>
  </si>
  <si>
    <t>#8x1 1/4 - F.H. Screw W/#5 Head -JS500 - Mill Finish</t>
  </si>
  <si>
    <t>#10x 1 1/2 - P.H. Screw W/#8 Head - Stainless - Mill Finish</t>
  </si>
  <si>
    <t>For use with 13mm Tempered Laminate Glass - Glass Not Included In Any Case.</t>
  </si>
  <si>
    <t>ML172STF20</t>
  </si>
  <si>
    <t>240"</t>
  </si>
  <si>
    <t>ML172STFCUT</t>
  </si>
  <si>
    <t xml:space="preserve">1.72" Post Stiffener </t>
  </si>
  <si>
    <t>1.72" Post Stiffener - Cut to Length</t>
  </si>
  <si>
    <t>ALGCUS</t>
  </si>
  <si>
    <t>Leg - Surface Support - Individually Powder Coated</t>
  </si>
  <si>
    <t xml:space="preserve">Stair, 36 1/8” Rail Height </t>
  </si>
  <si>
    <t xml:space="preserve">Fascia Mounted Post Pockets </t>
  </si>
  <si>
    <t>1 1/2” Offset</t>
  </si>
  <si>
    <t>5”</t>
  </si>
  <si>
    <t>PPFP172MID</t>
  </si>
  <si>
    <t>PPFP172O90</t>
  </si>
  <si>
    <t>PPFP172CUS</t>
  </si>
  <si>
    <t>Mid &amp; Inside Corner - 90º</t>
  </si>
  <si>
    <t>Outside Corner - 90º</t>
  </si>
  <si>
    <t>Custom</t>
  </si>
  <si>
    <t>RPLSCI14BX5K</t>
  </si>
  <si>
    <t xml:space="preserve">d </t>
  </si>
  <si>
    <t>RPLSCI516BX5K</t>
  </si>
  <si>
    <t>PCP250B</t>
  </si>
  <si>
    <t>PSMPH300</t>
  </si>
  <si>
    <t>PSMPH300CUS</t>
  </si>
  <si>
    <t xml:space="preserve">             </t>
  </si>
  <si>
    <t>Fascia Mount Base Plate Rubber Gaskets 1/4” Thick (MP/IC)</t>
  </si>
  <si>
    <t>Fascia Mount Base Plate Rubber Gaskets 1/4” Thick (OC)</t>
  </si>
  <si>
    <t>RPLFINFOSH25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</si>
</sst>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rgb="FF333333"/>
      <name val="Arial"/>
      <family val="2"/>
    </font>
    <font>
      <sz val="10"/>
      <color rgb="FF666666"/>
      <name val="Arial"/>
      <family val="2"/>
    </font>
    <font>
      <sz val="11"/>
      <color rgb="FFFFCCCC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wrapText="1"/>
    </xf>
    <xf numFmtId="164" fontId="0" fillId="0" borderId="0" xfId="1" applyFont="1"/>
    <xf numFmtId="164" fontId="0" fillId="0" borderId="0" xfId="1" applyFont="1" applyFill="1"/>
    <xf numFmtId="0" fontId="0" fillId="2" borderId="0" xfId="0" applyFill="1"/>
    <xf numFmtId="0" fontId="3" fillId="0" borderId="0" xfId="0" applyFont="1"/>
    <xf numFmtId="0" fontId="5" fillId="0" borderId="0" xfId="0" applyFont="1"/>
    <xf numFmtId="0" fontId="2" fillId="0" borderId="0" xfId="0" applyFont="1"/>
    <xf numFmtId="0" fontId="4" fillId="0" borderId="0" xfId="0" applyFont="1" applyAlignment="1">
      <alignment horizontal="left" vertical="center" wrapText="1"/>
    </xf>
    <xf numFmtId="0" fontId="6" fillId="0" borderId="0" xfId="0" applyFont="1"/>
    <xf numFmtId="2" fontId="0" fillId="0" borderId="0" xfId="0" applyNumberFormat="1"/>
    <xf numFmtId="0" fontId="0" fillId="3" borderId="0" xfId="0" applyFill="1"/>
    <xf numFmtId="0" fontId="7" fillId="4" borderId="0" xfId="0" applyFont="1" applyFill="1"/>
    <xf numFmtId="0" fontId="0" fillId="5" borderId="0" xfId="0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FFCC"/>
      <color rgb="FFFFCCCC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/>
  </sheetPr>
  <dimension ref="A1:Q25"/>
  <sheetViews>
    <sheetView zoomScaleNormal="100" workbookViewId="0"/>
  </sheetViews>
  <sheetFormatPr defaultRowHeight="15" x14ac:dyDescent="0.25"/>
  <cols>
    <col min="1" max="1" width="23.7109375" bestFit="1" customWidth="1"/>
    <col min="2" max="2" width="4.5703125" bestFit="1" customWidth="1"/>
    <col min="3" max="3" width="5" bestFit="1" customWidth="1"/>
    <col min="4" max="4" width="12.5703125" bestFit="1" customWidth="1"/>
    <col min="5" max="5" width="10.28515625" customWidth="1"/>
    <col min="6" max="6" width="12.5703125" style="2" customWidth="1"/>
    <col min="7" max="7" width="10.5703125" bestFit="1" customWidth="1"/>
    <col min="8" max="8" width="1.42578125" customWidth="1"/>
    <col min="9" max="9" width="2.7109375" customWidth="1"/>
    <col min="10" max="10" width="12.7109375" bestFit="1" customWidth="1"/>
    <col min="11" max="11" width="10.28515625" customWidth="1"/>
    <col min="12" max="12" width="12.5703125" style="2" customWidth="1"/>
    <col min="13" max="13" width="3.5703125" customWidth="1"/>
  </cols>
  <sheetData>
    <row r="1" spans="1:14" x14ac:dyDescent="0.25">
      <c r="D1" t="s">
        <v>19</v>
      </c>
      <c r="J1" t="s">
        <v>20</v>
      </c>
    </row>
    <row r="2" spans="1:14" x14ac:dyDescent="0.25">
      <c r="B2" t="s">
        <v>0</v>
      </c>
      <c r="C2" t="s">
        <v>1</v>
      </c>
      <c r="D2" t="s">
        <v>2</v>
      </c>
      <c r="E2" t="s">
        <v>3</v>
      </c>
      <c r="F2" s="2" t="s">
        <v>929</v>
      </c>
      <c r="J2" t="s">
        <v>2</v>
      </c>
      <c r="K2" t="s">
        <v>3</v>
      </c>
      <c r="L2" s="2" t="s">
        <v>929</v>
      </c>
    </row>
    <row r="3" spans="1:14" x14ac:dyDescent="0.25">
      <c r="A3" t="s">
        <v>862</v>
      </c>
      <c r="B3" t="s">
        <v>4</v>
      </c>
      <c r="C3" t="s">
        <v>5</v>
      </c>
      <c r="D3" t="s">
        <v>6</v>
      </c>
      <c r="E3" s="2">
        <v>657.98597778959504</v>
      </c>
      <c r="F3" s="2">
        <f t="shared" ref="F3:F12" si="0">E3*stddisc</f>
        <v>657.98597778959504</v>
      </c>
      <c r="G3" s="2"/>
      <c r="J3" t="s">
        <v>21</v>
      </c>
      <c r="K3" s="2">
        <v>657.98597778959504</v>
      </c>
      <c r="L3" s="2">
        <f t="shared" ref="L3:L12" si="1">K3*stddisc</f>
        <v>657.98597778959504</v>
      </c>
      <c r="M3" s="2"/>
      <c r="N3" s="2"/>
    </row>
    <row r="4" spans="1:14" x14ac:dyDescent="0.25">
      <c r="B4" t="s">
        <v>7</v>
      </c>
      <c r="C4" t="s">
        <v>5</v>
      </c>
      <c r="D4" t="s">
        <v>8</v>
      </c>
      <c r="E4" s="2">
        <v>822.47922189625524</v>
      </c>
      <c r="F4" s="2">
        <f t="shared" si="0"/>
        <v>822.47922189625524</v>
      </c>
      <c r="G4" s="2"/>
      <c r="J4" t="s">
        <v>22</v>
      </c>
      <c r="K4" s="2">
        <v>822.47922189625524</v>
      </c>
      <c r="L4" s="2">
        <f t="shared" si="1"/>
        <v>822.47922189625524</v>
      </c>
      <c r="M4" s="2"/>
      <c r="N4" s="2"/>
    </row>
    <row r="5" spans="1:14" x14ac:dyDescent="0.25">
      <c r="B5" t="s">
        <v>9</v>
      </c>
      <c r="C5" t="s">
        <v>10</v>
      </c>
      <c r="D5" t="s">
        <v>11</v>
      </c>
      <c r="E5" s="2">
        <v>47.649995230075</v>
      </c>
      <c r="F5" s="2">
        <f t="shared" si="0"/>
        <v>47.649995230075</v>
      </c>
      <c r="G5" s="2"/>
      <c r="J5" t="s">
        <v>23</v>
      </c>
      <c r="K5" s="2">
        <v>47.649995230075</v>
      </c>
      <c r="L5" s="2">
        <f t="shared" si="1"/>
        <v>47.649995230075</v>
      </c>
      <c r="M5" s="2"/>
      <c r="N5" s="2"/>
    </row>
    <row r="6" spans="1:14" x14ac:dyDescent="0.25">
      <c r="A6" t="s">
        <v>863</v>
      </c>
      <c r="B6" t="s">
        <v>4</v>
      </c>
      <c r="C6" t="s">
        <v>5</v>
      </c>
      <c r="D6" t="s">
        <v>12</v>
      </c>
      <c r="E6" s="2">
        <v>687.66</v>
      </c>
      <c r="F6" s="2">
        <f t="shared" si="0"/>
        <v>687.66</v>
      </c>
      <c r="G6" s="2"/>
      <c r="J6" t="s">
        <v>24</v>
      </c>
      <c r="K6" s="2">
        <v>687.66</v>
      </c>
      <c r="L6" s="2">
        <f t="shared" si="1"/>
        <v>687.66</v>
      </c>
      <c r="M6" s="2"/>
      <c r="N6" s="2"/>
    </row>
    <row r="7" spans="1:14" x14ac:dyDescent="0.25">
      <c r="B7" t="s">
        <v>7</v>
      </c>
      <c r="C7" t="s">
        <v>5</v>
      </c>
      <c r="D7" t="s">
        <v>13</v>
      </c>
      <c r="E7" s="2">
        <v>859.58511176982506</v>
      </c>
      <c r="F7" s="2">
        <f t="shared" si="0"/>
        <v>859.58511176982506</v>
      </c>
      <c r="G7" s="2"/>
      <c r="J7" t="s">
        <v>25</v>
      </c>
      <c r="K7" s="2">
        <v>859.58511176982506</v>
      </c>
      <c r="L7" s="2">
        <f t="shared" si="1"/>
        <v>859.58511176982506</v>
      </c>
      <c r="M7" s="2"/>
      <c r="N7" s="2"/>
    </row>
    <row r="8" spans="1:14" x14ac:dyDescent="0.25">
      <c r="B8" t="s">
        <v>9</v>
      </c>
      <c r="C8" t="s">
        <v>10</v>
      </c>
      <c r="D8" t="s">
        <v>14</v>
      </c>
      <c r="E8" s="2">
        <v>49.782218754695009</v>
      </c>
      <c r="F8" s="2">
        <f t="shared" si="0"/>
        <v>49.782218754695009</v>
      </c>
      <c r="G8" s="2"/>
      <c r="J8" t="s">
        <v>26</v>
      </c>
      <c r="K8" s="2">
        <v>49.782218754695009</v>
      </c>
      <c r="L8" s="2">
        <f t="shared" si="1"/>
        <v>49.782218754695009</v>
      </c>
      <c r="M8" s="2"/>
      <c r="N8" s="2"/>
    </row>
    <row r="9" spans="1:14" x14ac:dyDescent="0.25">
      <c r="A9" t="s">
        <v>864</v>
      </c>
      <c r="B9" t="s">
        <v>4</v>
      </c>
      <c r="C9" t="s">
        <v>5</v>
      </c>
      <c r="D9" t="s">
        <v>15</v>
      </c>
      <c r="E9" s="2">
        <v>706.41</v>
      </c>
      <c r="F9" s="2">
        <f t="shared" si="0"/>
        <v>706.41</v>
      </c>
      <c r="G9" s="2"/>
      <c r="J9" t="s">
        <v>27</v>
      </c>
      <c r="K9" s="2">
        <v>706.41</v>
      </c>
      <c r="L9" s="2">
        <f t="shared" si="1"/>
        <v>706.41</v>
      </c>
      <c r="M9" s="2"/>
      <c r="N9" s="2"/>
    </row>
    <row r="10" spans="1:14" x14ac:dyDescent="0.25">
      <c r="B10" t="s">
        <v>9</v>
      </c>
      <c r="C10" t="s">
        <v>10</v>
      </c>
      <c r="D10" t="s">
        <v>16</v>
      </c>
      <c r="E10" s="2">
        <v>51.147361864970016</v>
      </c>
      <c r="F10" s="2">
        <f t="shared" si="0"/>
        <v>51.147361864970016</v>
      </c>
      <c r="G10" s="2"/>
      <c r="J10" t="s">
        <v>28</v>
      </c>
      <c r="K10" s="2">
        <v>51.147361864970016</v>
      </c>
      <c r="L10" s="2">
        <f t="shared" si="1"/>
        <v>51.147361864970016</v>
      </c>
      <c r="M10" s="2"/>
      <c r="N10" s="2"/>
    </row>
    <row r="11" spans="1:14" x14ac:dyDescent="0.25">
      <c r="A11" t="s">
        <v>861</v>
      </c>
      <c r="B11" t="s">
        <v>4</v>
      </c>
      <c r="C11" t="s">
        <v>5</v>
      </c>
      <c r="D11" t="s">
        <v>17</v>
      </c>
      <c r="E11" s="2">
        <v>738.85445536969507</v>
      </c>
      <c r="F11" s="2">
        <f t="shared" si="0"/>
        <v>738.85445536969507</v>
      </c>
      <c r="G11" s="2"/>
      <c r="J11" t="s">
        <v>29</v>
      </c>
      <c r="K11" s="2">
        <v>738.85445536969507</v>
      </c>
      <c r="L11" s="2">
        <f t="shared" si="1"/>
        <v>738.85445536969507</v>
      </c>
      <c r="M11" s="2"/>
      <c r="N11" s="2"/>
    </row>
    <row r="12" spans="1:14" x14ac:dyDescent="0.25">
      <c r="B12" t="s">
        <v>9</v>
      </c>
      <c r="C12" t="s">
        <v>10</v>
      </c>
      <c r="D12" t="s">
        <v>18</v>
      </c>
      <c r="E12" s="2">
        <v>53.487607196870002</v>
      </c>
      <c r="F12" s="2">
        <f t="shared" si="0"/>
        <v>53.487607196870002</v>
      </c>
      <c r="G12" s="2"/>
      <c r="J12" t="s">
        <v>30</v>
      </c>
      <c r="K12" s="2">
        <v>53.487607196870002</v>
      </c>
      <c r="L12" s="2">
        <f t="shared" si="1"/>
        <v>53.487607196870002</v>
      </c>
      <c r="M12" s="2"/>
      <c r="N12" s="2"/>
    </row>
    <row r="13" spans="1:14" x14ac:dyDescent="0.25">
      <c r="E13" s="2"/>
      <c r="G13" s="2"/>
      <c r="K13" s="2"/>
      <c r="M13" s="2"/>
      <c r="N13" s="2"/>
    </row>
    <row r="14" spans="1:14" x14ac:dyDescent="0.25">
      <c r="D14" t="s">
        <v>41</v>
      </c>
      <c r="E14" s="2"/>
      <c r="G14" s="2"/>
      <c r="J14" t="s">
        <v>52</v>
      </c>
      <c r="K14" s="2"/>
      <c r="M14" s="2"/>
      <c r="N14" s="2"/>
    </row>
    <row r="15" spans="1:14" x14ac:dyDescent="0.25">
      <c r="B15" t="s">
        <v>0</v>
      </c>
      <c r="C15" t="s">
        <v>1</v>
      </c>
      <c r="D15" t="s">
        <v>2</v>
      </c>
      <c r="E15" s="2" t="s">
        <v>3</v>
      </c>
      <c r="F15" s="2" t="str">
        <f>F2</f>
        <v>Dealer Price</v>
      </c>
      <c r="G15" s="2"/>
      <c r="J15" t="s">
        <v>2</v>
      </c>
      <c r="K15" s="2" t="s">
        <v>3</v>
      </c>
      <c r="L15" s="2" t="str">
        <f>L2</f>
        <v>Dealer Price</v>
      </c>
      <c r="M15" s="2"/>
      <c r="N15" s="2"/>
    </row>
    <row r="16" spans="1:14" x14ac:dyDescent="0.25">
      <c r="A16" t="s">
        <v>862</v>
      </c>
      <c r="B16" t="s">
        <v>4</v>
      </c>
      <c r="C16" t="s">
        <v>5</v>
      </c>
      <c r="D16" t="s">
        <v>31</v>
      </c>
      <c r="E16" s="2">
        <v>677.72204675528496</v>
      </c>
      <c r="F16" s="2">
        <f t="shared" ref="F16:F25" si="2">E16*stddisc</f>
        <v>677.72204675528496</v>
      </c>
      <c r="G16" s="2"/>
      <c r="J16" t="s">
        <v>42</v>
      </c>
      <c r="K16" s="2">
        <v>657.98597778959504</v>
      </c>
      <c r="L16" s="2">
        <f t="shared" ref="L16:L25" si="3">K16*stddisc</f>
        <v>657.98597778959504</v>
      </c>
      <c r="M16" s="2"/>
      <c r="N16" s="2"/>
    </row>
    <row r="17" spans="1:17" x14ac:dyDescent="0.25">
      <c r="B17" t="s">
        <v>7</v>
      </c>
      <c r="C17" t="s">
        <v>5</v>
      </c>
      <c r="D17" t="s">
        <v>32</v>
      </c>
      <c r="E17" s="2">
        <v>847.15580878484502</v>
      </c>
      <c r="F17" s="2">
        <f t="shared" si="2"/>
        <v>847.15580878484502</v>
      </c>
      <c r="G17" s="2"/>
      <c r="J17" t="s">
        <v>43</v>
      </c>
      <c r="K17" s="2">
        <v>822.47922189625524</v>
      </c>
      <c r="L17" s="2">
        <f t="shared" si="3"/>
        <v>822.47922189625524</v>
      </c>
      <c r="M17" s="2"/>
      <c r="N17" s="2"/>
    </row>
    <row r="18" spans="1:17" x14ac:dyDescent="0.25">
      <c r="B18" t="s">
        <v>9</v>
      </c>
      <c r="C18" t="s">
        <v>10</v>
      </c>
      <c r="D18" t="s">
        <v>33</v>
      </c>
      <c r="E18" s="2">
        <v>49.08014515512501</v>
      </c>
      <c r="F18" s="2">
        <f t="shared" si="2"/>
        <v>49.08014515512501</v>
      </c>
      <c r="G18" s="2"/>
      <c r="J18" t="s">
        <v>44</v>
      </c>
      <c r="K18" s="2">
        <v>47.649995230075</v>
      </c>
      <c r="L18" s="2">
        <f t="shared" si="3"/>
        <v>47.649995230075</v>
      </c>
      <c r="M18" s="2"/>
      <c r="N18" s="2"/>
      <c r="Q18" s="9"/>
    </row>
    <row r="19" spans="1:17" x14ac:dyDescent="0.25">
      <c r="A19" t="s">
        <v>863</v>
      </c>
      <c r="B19" t="s">
        <v>4</v>
      </c>
      <c r="C19" t="s">
        <v>5</v>
      </c>
      <c r="D19" t="s">
        <v>34</v>
      </c>
      <c r="E19" s="2">
        <v>708.301252425445</v>
      </c>
      <c r="F19" s="2">
        <f t="shared" si="2"/>
        <v>708.301252425445</v>
      </c>
      <c r="G19" s="2"/>
      <c r="J19" t="s">
        <v>45</v>
      </c>
      <c r="K19" s="2">
        <v>687.66</v>
      </c>
      <c r="L19" s="2">
        <f t="shared" si="3"/>
        <v>687.66</v>
      </c>
      <c r="M19" s="2"/>
      <c r="N19" s="2"/>
    </row>
    <row r="20" spans="1:17" x14ac:dyDescent="0.25">
      <c r="B20" t="s">
        <v>7</v>
      </c>
      <c r="C20" t="s">
        <v>5</v>
      </c>
      <c r="D20" t="s">
        <v>35</v>
      </c>
      <c r="E20" s="2">
        <v>885.3668145095902</v>
      </c>
      <c r="F20" s="2">
        <f t="shared" si="2"/>
        <v>885.3668145095902</v>
      </c>
      <c r="G20" s="2"/>
      <c r="J20" t="s">
        <v>46</v>
      </c>
      <c r="K20" s="2">
        <v>859.58511176982506</v>
      </c>
      <c r="L20" s="2">
        <f t="shared" si="3"/>
        <v>859.58511176982506</v>
      </c>
      <c r="M20" s="2"/>
      <c r="N20" s="2"/>
    </row>
    <row r="21" spans="1:17" x14ac:dyDescent="0.25">
      <c r="B21" t="s">
        <v>9</v>
      </c>
      <c r="C21" t="s">
        <v>10</v>
      </c>
      <c r="D21" t="s">
        <v>36</v>
      </c>
      <c r="E21" s="2">
        <v>51.277375494520001</v>
      </c>
      <c r="F21" s="2">
        <f t="shared" si="2"/>
        <v>51.277375494520001</v>
      </c>
      <c r="G21" s="2"/>
      <c r="J21" t="s">
        <v>47</v>
      </c>
      <c r="K21" s="2">
        <v>49.782218754695009</v>
      </c>
      <c r="L21" s="2">
        <f t="shared" si="3"/>
        <v>49.782218754695009</v>
      </c>
      <c r="M21" s="2"/>
      <c r="N21" s="2"/>
    </row>
    <row r="22" spans="1:17" x14ac:dyDescent="0.25">
      <c r="A22" t="s">
        <v>864</v>
      </c>
      <c r="B22" t="s">
        <v>4</v>
      </c>
      <c r="C22" t="s">
        <v>5</v>
      </c>
      <c r="D22" t="s">
        <v>37</v>
      </c>
      <c r="E22" s="2">
        <v>733.17</v>
      </c>
      <c r="F22" s="2">
        <f t="shared" si="2"/>
        <v>733.17</v>
      </c>
      <c r="G22" s="2"/>
      <c r="J22" t="s">
        <v>48</v>
      </c>
      <c r="K22" s="2">
        <v>706.41</v>
      </c>
      <c r="L22" s="2">
        <f t="shared" si="3"/>
        <v>706.41</v>
      </c>
      <c r="M22" s="2"/>
      <c r="N22" s="2"/>
    </row>
    <row r="23" spans="1:17" x14ac:dyDescent="0.25">
      <c r="B23" t="s">
        <v>9</v>
      </c>
      <c r="C23" t="s">
        <v>10</v>
      </c>
      <c r="D23" t="s">
        <v>38</v>
      </c>
      <c r="E23" s="2">
        <v>52.69</v>
      </c>
      <c r="F23" s="2">
        <f t="shared" si="2"/>
        <v>52.69</v>
      </c>
      <c r="G23" s="2"/>
      <c r="J23" t="s">
        <v>49</v>
      </c>
      <c r="K23" s="2">
        <v>51.147361864970016</v>
      </c>
      <c r="L23" s="2">
        <f t="shared" si="3"/>
        <v>51.147361864970016</v>
      </c>
      <c r="M23" s="2"/>
      <c r="N23" s="2"/>
    </row>
    <row r="24" spans="1:17" x14ac:dyDescent="0.25">
      <c r="A24" t="s">
        <v>861</v>
      </c>
      <c r="B24" t="s">
        <v>4</v>
      </c>
      <c r="C24" t="s">
        <v>5</v>
      </c>
      <c r="D24" t="s">
        <v>39</v>
      </c>
      <c r="E24" s="2">
        <v>761.02177920796998</v>
      </c>
      <c r="F24" s="2">
        <f t="shared" si="2"/>
        <v>761.02177920796998</v>
      </c>
      <c r="G24" s="2"/>
      <c r="J24" t="s">
        <v>50</v>
      </c>
      <c r="K24" s="2">
        <v>738.85445536969507</v>
      </c>
      <c r="L24" s="2">
        <f t="shared" si="3"/>
        <v>738.85445536969507</v>
      </c>
      <c r="M24" s="2"/>
      <c r="N24" s="2"/>
    </row>
    <row r="25" spans="1:17" x14ac:dyDescent="0.25">
      <c r="B25" t="s">
        <v>9</v>
      </c>
      <c r="C25" t="s">
        <v>10</v>
      </c>
      <c r="D25" t="s">
        <v>40</v>
      </c>
      <c r="E25" s="2">
        <v>55.11</v>
      </c>
      <c r="F25" s="2">
        <f t="shared" si="2"/>
        <v>55.11</v>
      </c>
      <c r="G25" s="2"/>
      <c r="J25" t="s">
        <v>51</v>
      </c>
      <c r="K25" s="2">
        <v>53.487607196870002</v>
      </c>
      <c r="L25" s="2">
        <f t="shared" si="3"/>
        <v>53.487607196870002</v>
      </c>
      <c r="M25" s="2"/>
      <c r="N25" s="2"/>
    </row>
  </sheetData>
  <pageMargins left="0.7" right="0.7" top="0.75" bottom="0.75" header="0.3" footer="0.3"/>
  <pageSetup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7"/>
  </sheetPr>
  <dimension ref="A1:K21"/>
  <sheetViews>
    <sheetView zoomScaleNormal="100" workbookViewId="0">
      <selection activeCell="I25" sqref="I25"/>
    </sheetView>
  </sheetViews>
  <sheetFormatPr defaultRowHeight="15" x14ac:dyDescent="0.25"/>
  <cols>
    <col min="1" max="1" width="23.7109375" bestFit="1" customWidth="1"/>
    <col min="2" max="2" width="4.5703125" bestFit="1" customWidth="1"/>
    <col min="3" max="3" width="5" bestFit="1" customWidth="1"/>
    <col min="4" max="4" width="13.42578125" bestFit="1" customWidth="1"/>
    <col min="5" max="5" width="10.5703125" customWidth="1"/>
    <col min="6" max="6" width="12.5703125" style="2" customWidth="1"/>
    <col min="7" max="7" width="4.85546875" customWidth="1"/>
    <col min="8" max="8" width="3.42578125" customWidth="1"/>
    <col min="9" max="9" width="13.5703125" bestFit="1" customWidth="1"/>
    <col min="10" max="10" width="10.5703125" customWidth="1"/>
    <col min="11" max="11" width="12.5703125" style="2" customWidth="1"/>
    <col min="12" max="12" width="1.7109375" customWidth="1"/>
  </cols>
  <sheetData>
    <row r="1" spans="1:11" x14ac:dyDescent="0.25">
      <c r="D1" t="s">
        <v>19</v>
      </c>
      <c r="I1" t="s">
        <v>20</v>
      </c>
    </row>
    <row r="2" spans="1:11" x14ac:dyDescent="0.25">
      <c r="B2" t="s">
        <v>0</v>
      </c>
      <c r="C2" t="s">
        <v>1</v>
      </c>
      <c r="D2" t="s">
        <v>2</v>
      </c>
      <c r="E2" t="s">
        <v>3</v>
      </c>
      <c r="F2" s="2" t="s">
        <v>929</v>
      </c>
      <c r="I2" t="s">
        <v>2</v>
      </c>
      <c r="J2" t="s">
        <v>3</v>
      </c>
      <c r="K2" s="2" t="s">
        <v>929</v>
      </c>
    </row>
    <row r="3" spans="1:11" x14ac:dyDescent="0.25">
      <c r="A3" t="s">
        <v>862</v>
      </c>
      <c r="B3" t="s">
        <v>4</v>
      </c>
      <c r="C3" t="s">
        <v>5</v>
      </c>
      <c r="D3" t="s">
        <v>53</v>
      </c>
      <c r="E3" s="2">
        <v>878.64</v>
      </c>
      <c r="F3" s="2">
        <f t="shared" ref="F3:F10" si="0">+E3*stddisc</f>
        <v>878.64</v>
      </c>
      <c r="G3" s="2"/>
      <c r="I3" t="s">
        <v>61</v>
      </c>
      <c r="J3" s="2">
        <v>878.64</v>
      </c>
      <c r="K3" s="2">
        <f t="shared" ref="K3:K10" si="1">+J3*stddisc</f>
        <v>878.64</v>
      </c>
    </row>
    <row r="4" spans="1:11" x14ac:dyDescent="0.25">
      <c r="B4" t="s">
        <v>7</v>
      </c>
      <c r="C4" t="s">
        <v>5</v>
      </c>
      <c r="D4" t="s">
        <v>54</v>
      </c>
      <c r="E4" s="2">
        <v>1098.3031369865801</v>
      </c>
      <c r="F4" s="2">
        <f t="shared" si="0"/>
        <v>1098.3031369865801</v>
      </c>
      <c r="G4" s="2"/>
      <c r="I4" t="s">
        <v>62</v>
      </c>
      <c r="J4" s="2">
        <v>1098.3031369865801</v>
      </c>
      <c r="K4" s="2">
        <f t="shared" si="1"/>
        <v>1098.3031369865801</v>
      </c>
    </row>
    <row r="5" spans="1:11" x14ac:dyDescent="0.25">
      <c r="B5" t="s">
        <v>9</v>
      </c>
      <c r="C5" t="s">
        <v>10</v>
      </c>
      <c r="D5" t="s">
        <v>55</v>
      </c>
      <c r="E5" s="2">
        <v>61.444441325330004</v>
      </c>
      <c r="F5" s="2">
        <f t="shared" si="0"/>
        <v>61.444441325330004</v>
      </c>
      <c r="G5" s="2"/>
      <c r="I5" t="s">
        <v>63</v>
      </c>
      <c r="J5" s="2">
        <v>61.444441325330004</v>
      </c>
      <c r="K5" s="2">
        <f t="shared" si="1"/>
        <v>61.444441325330004</v>
      </c>
    </row>
    <row r="6" spans="1:11" x14ac:dyDescent="0.25">
      <c r="A6" t="s">
        <v>866</v>
      </c>
      <c r="B6" t="s">
        <v>4</v>
      </c>
      <c r="C6" t="s">
        <v>5</v>
      </c>
      <c r="D6" t="s">
        <v>56</v>
      </c>
      <c r="E6" s="2">
        <v>908.32722148812002</v>
      </c>
      <c r="F6" s="2">
        <f t="shared" si="0"/>
        <v>908.32722148812002</v>
      </c>
      <c r="G6" s="2"/>
      <c r="I6" t="s">
        <v>64</v>
      </c>
      <c r="J6" s="2">
        <v>908.32722148812002</v>
      </c>
      <c r="K6" s="2">
        <f t="shared" si="1"/>
        <v>908.32722148812002</v>
      </c>
    </row>
    <row r="7" spans="1:11" x14ac:dyDescent="0.25">
      <c r="B7" t="s">
        <v>7</v>
      </c>
      <c r="C7" t="s">
        <v>5</v>
      </c>
      <c r="D7" t="s">
        <v>57</v>
      </c>
      <c r="E7" s="2">
        <v>1135.4090268601501</v>
      </c>
      <c r="F7" s="2">
        <f t="shared" si="0"/>
        <v>1135.4090268601501</v>
      </c>
      <c r="G7" s="2"/>
      <c r="I7" t="s">
        <v>65</v>
      </c>
      <c r="J7" s="2">
        <v>1135.4090268601501</v>
      </c>
      <c r="K7" s="2">
        <f t="shared" si="1"/>
        <v>1135.4090268601501</v>
      </c>
    </row>
    <row r="8" spans="1:11" x14ac:dyDescent="0.25">
      <c r="B8" t="s">
        <v>9</v>
      </c>
      <c r="C8" t="s">
        <v>10</v>
      </c>
      <c r="D8" t="s">
        <v>58</v>
      </c>
      <c r="E8" s="2">
        <v>63.563663486994997</v>
      </c>
      <c r="F8" s="2">
        <f t="shared" si="0"/>
        <v>63.563663486994997</v>
      </c>
      <c r="G8" s="2"/>
      <c r="I8" t="s">
        <v>66</v>
      </c>
      <c r="J8" s="2">
        <v>63.563663486994997</v>
      </c>
      <c r="K8" s="2">
        <f t="shared" si="1"/>
        <v>63.563663486994997</v>
      </c>
    </row>
    <row r="9" spans="1:11" x14ac:dyDescent="0.25">
      <c r="A9" t="s">
        <v>949</v>
      </c>
      <c r="B9" t="s">
        <v>4</v>
      </c>
      <c r="C9" t="s">
        <v>5</v>
      </c>
      <c r="D9" t="s">
        <v>59</v>
      </c>
      <c r="E9" s="2">
        <v>952.33683509079503</v>
      </c>
      <c r="F9" s="2">
        <f t="shared" si="0"/>
        <v>952.33683509079503</v>
      </c>
      <c r="G9" s="2"/>
      <c r="I9" t="s">
        <v>67</v>
      </c>
      <c r="J9" s="2">
        <v>952.33683509079503</v>
      </c>
      <c r="K9" s="2">
        <f t="shared" si="1"/>
        <v>952.33683509079503</v>
      </c>
    </row>
    <row r="10" spans="1:11" x14ac:dyDescent="0.25">
      <c r="B10" t="s">
        <v>9</v>
      </c>
      <c r="C10" t="s">
        <v>10</v>
      </c>
      <c r="D10" t="s">
        <v>60</v>
      </c>
      <c r="E10" s="2">
        <v>66.52</v>
      </c>
      <c r="F10" s="2">
        <f t="shared" si="0"/>
        <v>66.52</v>
      </c>
      <c r="G10" s="2"/>
      <c r="I10" t="s">
        <v>68</v>
      </c>
      <c r="J10" s="2">
        <v>66.52</v>
      </c>
      <c r="K10" s="2">
        <f t="shared" si="1"/>
        <v>66.52</v>
      </c>
    </row>
    <row r="11" spans="1:11" x14ac:dyDescent="0.25">
      <c r="E11" s="2"/>
      <c r="G11" s="2"/>
      <c r="J11" s="2"/>
    </row>
    <row r="12" spans="1:11" x14ac:dyDescent="0.25">
      <c r="D12" t="s">
        <v>41</v>
      </c>
      <c r="E12" s="2"/>
      <c r="G12" s="2"/>
      <c r="I12" t="s">
        <v>52</v>
      </c>
      <c r="J12" s="2"/>
    </row>
    <row r="13" spans="1:11" x14ac:dyDescent="0.25">
      <c r="B13" t="s">
        <v>0</v>
      </c>
      <c r="C13" t="s">
        <v>1</v>
      </c>
      <c r="D13" t="s">
        <v>2</v>
      </c>
      <c r="E13" s="2" t="s">
        <v>3</v>
      </c>
      <c r="F13" s="2" t="str">
        <f>F2</f>
        <v>Dealer Price</v>
      </c>
      <c r="G13" s="2"/>
      <c r="I13" t="s">
        <v>2</v>
      </c>
      <c r="J13" s="2" t="s">
        <v>3</v>
      </c>
      <c r="K13" s="2" t="str">
        <f>K2</f>
        <v>Dealer Price</v>
      </c>
    </row>
    <row r="14" spans="1:11" x14ac:dyDescent="0.25">
      <c r="A14" t="s">
        <v>862</v>
      </c>
      <c r="B14" t="s">
        <v>4</v>
      </c>
      <c r="C14" t="s">
        <v>5</v>
      </c>
      <c r="D14" t="s">
        <v>69</v>
      </c>
      <c r="E14" s="2">
        <v>909.39333325042992</v>
      </c>
      <c r="F14" s="2">
        <f t="shared" ref="F14:F21" si="2">+E14*stddisc</f>
        <v>909.39333325042992</v>
      </c>
      <c r="G14" s="2"/>
      <c r="I14" t="s">
        <v>77</v>
      </c>
      <c r="J14" s="2">
        <v>878.64</v>
      </c>
      <c r="K14" s="2">
        <f t="shared" ref="K14:K21" si="3">+J14*stddisc</f>
        <v>878.64</v>
      </c>
    </row>
    <row r="15" spans="1:11" x14ac:dyDescent="0.25">
      <c r="B15" t="s">
        <v>7</v>
      </c>
      <c r="C15" t="s">
        <v>5</v>
      </c>
      <c r="D15" t="s">
        <v>70</v>
      </c>
      <c r="E15" s="2">
        <v>1136.73</v>
      </c>
      <c r="F15" s="2">
        <f t="shared" si="2"/>
        <v>1136.73</v>
      </c>
      <c r="G15" s="2"/>
      <c r="I15" t="s">
        <v>78</v>
      </c>
      <c r="J15" s="2">
        <v>1098.3031369865801</v>
      </c>
      <c r="K15" s="2">
        <f t="shared" si="3"/>
        <v>1098.3031369865801</v>
      </c>
    </row>
    <row r="16" spans="1:11" x14ac:dyDescent="0.25">
      <c r="B16" t="s">
        <v>9</v>
      </c>
      <c r="C16" t="s">
        <v>10</v>
      </c>
      <c r="D16" t="s">
        <v>71</v>
      </c>
      <c r="E16" s="2">
        <v>63.589666212905001</v>
      </c>
      <c r="F16" s="2">
        <f t="shared" si="2"/>
        <v>63.589666212905001</v>
      </c>
      <c r="G16" s="2"/>
      <c r="I16" t="s">
        <v>79</v>
      </c>
      <c r="J16" s="2">
        <v>61.444441325330004</v>
      </c>
      <c r="K16" s="2">
        <f t="shared" si="3"/>
        <v>61.444441325330004</v>
      </c>
    </row>
    <row r="17" spans="1:11" x14ac:dyDescent="0.25">
      <c r="A17" t="s">
        <v>866</v>
      </c>
      <c r="B17" t="s">
        <v>4</v>
      </c>
      <c r="C17" t="s">
        <v>5</v>
      </c>
      <c r="D17" t="s">
        <v>72</v>
      </c>
      <c r="E17" s="2">
        <v>940.11555391309503</v>
      </c>
      <c r="F17" s="2">
        <f t="shared" si="2"/>
        <v>940.11555391309503</v>
      </c>
      <c r="G17" s="2"/>
      <c r="I17" t="s">
        <v>80</v>
      </c>
      <c r="J17" s="2">
        <v>908.32722148812002</v>
      </c>
      <c r="K17" s="2">
        <f t="shared" si="3"/>
        <v>908.32722148812002</v>
      </c>
    </row>
    <row r="18" spans="1:11" x14ac:dyDescent="0.25">
      <c r="B18" t="s">
        <v>7</v>
      </c>
      <c r="C18" t="s">
        <v>5</v>
      </c>
      <c r="D18" t="s">
        <v>73</v>
      </c>
      <c r="E18" s="2">
        <v>1175.1411920506303</v>
      </c>
      <c r="F18" s="2">
        <f t="shared" si="2"/>
        <v>1175.1411920506303</v>
      </c>
      <c r="G18" s="2"/>
      <c r="I18" t="s">
        <v>81</v>
      </c>
      <c r="J18" s="2">
        <v>1135.4090268601501</v>
      </c>
      <c r="K18" s="2">
        <f t="shared" si="3"/>
        <v>1135.4090268601501</v>
      </c>
    </row>
    <row r="19" spans="1:11" x14ac:dyDescent="0.25">
      <c r="B19" t="s">
        <v>9</v>
      </c>
      <c r="C19" t="s">
        <v>10</v>
      </c>
      <c r="D19" t="s">
        <v>74</v>
      </c>
      <c r="E19" s="2">
        <v>65.790000000000006</v>
      </c>
      <c r="F19" s="2">
        <f t="shared" si="2"/>
        <v>65.790000000000006</v>
      </c>
      <c r="G19" s="2"/>
      <c r="I19" t="s">
        <v>82</v>
      </c>
      <c r="J19" s="2">
        <v>63.563663486994997</v>
      </c>
      <c r="K19" s="2">
        <f t="shared" si="3"/>
        <v>63.563663486994997</v>
      </c>
    </row>
    <row r="20" spans="1:11" x14ac:dyDescent="0.25">
      <c r="A20" t="s">
        <v>949</v>
      </c>
      <c r="B20" t="s">
        <v>4</v>
      </c>
      <c r="C20" t="s">
        <v>5</v>
      </c>
      <c r="D20" t="s">
        <v>75</v>
      </c>
      <c r="E20" s="2">
        <v>985.67232970741509</v>
      </c>
      <c r="F20" s="2">
        <f t="shared" si="2"/>
        <v>985.67232970741509</v>
      </c>
      <c r="G20" s="2"/>
      <c r="I20" t="s">
        <v>83</v>
      </c>
      <c r="J20" s="2">
        <v>952.33683509079503</v>
      </c>
      <c r="K20" s="2">
        <f t="shared" si="3"/>
        <v>952.33683509079503</v>
      </c>
    </row>
    <row r="21" spans="1:11" x14ac:dyDescent="0.25">
      <c r="B21" t="s">
        <v>9</v>
      </c>
      <c r="C21" t="s">
        <v>10</v>
      </c>
      <c r="D21" t="s">
        <v>76</v>
      </c>
      <c r="E21" s="2">
        <v>68.842216846725009</v>
      </c>
      <c r="F21" s="2">
        <f t="shared" si="2"/>
        <v>68.842216846725009</v>
      </c>
      <c r="G21" s="2"/>
      <c r="I21" t="s">
        <v>84</v>
      </c>
      <c r="J21" s="2">
        <v>66.52</v>
      </c>
      <c r="K21" s="2">
        <f t="shared" si="3"/>
        <v>66.52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/>
  </sheetPr>
  <dimension ref="A2:K18"/>
  <sheetViews>
    <sheetView zoomScaleNormal="100" workbookViewId="0">
      <selection activeCell="D26" sqref="D26"/>
    </sheetView>
  </sheetViews>
  <sheetFormatPr defaultRowHeight="15" x14ac:dyDescent="0.25"/>
  <cols>
    <col min="1" max="1" width="31" bestFit="1" customWidth="1"/>
    <col min="3" max="3" width="5" bestFit="1" customWidth="1"/>
    <col min="4" max="4" width="15" bestFit="1" customWidth="1"/>
    <col min="5" max="5" width="10.28515625" customWidth="1"/>
    <col min="6" max="6" width="12.5703125" style="2" customWidth="1"/>
    <col min="7" max="7" width="3.7109375" customWidth="1"/>
    <col min="8" max="8" width="2.7109375" customWidth="1"/>
    <col min="9" max="9" width="9.5703125" bestFit="1" customWidth="1"/>
    <col min="10" max="10" width="10.28515625" customWidth="1"/>
    <col min="11" max="11" width="13.28515625" bestFit="1" customWidth="1"/>
  </cols>
  <sheetData>
    <row r="2" spans="1:11" x14ac:dyDescent="0.25">
      <c r="A2" s="1"/>
      <c r="D2" t="s">
        <v>19</v>
      </c>
      <c r="I2" t="s">
        <v>20</v>
      </c>
    </row>
    <row r="3" spans="1:11" x14ac:dyDescent="0.25">
      <c r="B3" t="s">
        <v>0</v>
      </c>
      <c r="C3" t="s">
        <v>1</v>
      </c>
      <c r="D3" t="s">
        <v>2</v>
      </c>
      <c r="E3" t="s">
        <v>3</v>
      </c>
      <c r="F3" s="2" t="s">
        <v>929</v>
      </c>
      <c r="I3" t="s">
        <v>2</v>
      </c>
      <c r="J3" t="s">
        <v>3</v>
      </c>
      <c r="K3" s="2" t="s">
        <v>929</v>
      </c>
    </row>
    <row r="4" spans="1:11" x14ac:dyDescent="0.25">
      <c r="A4" t="s">
        <v>91</v>
      </c>
      <c r="B4" t="s">
        <v>4</v>
      </c>
      <c r="C4" t="s">
        <v>5</v>
      </c>
      <c r="D4" t="s">
        <v>85</v>
      </c>
      <c r="E4" s="2">
        <v>210.68708668577503</v>
      </c>
      <c r="F4" s="2">
        <f>+E4*stddisc</f>
        <v>210.68708668577503</v>
      </c>
      <c r="G4" s="2"/>
      <c r="I4" t="s">
        <v>88</v>
      </c>
      <c r="J4" s="2">
        <v>210.68708668577503</v>
      </c>
      <c r="K4" s="2">
        <f>+J4*stddisc</f>
        <v>210.68708668577503</v>
      </c>
    </row>
    <row r="5" spans="1:11" x14ac:dyDescent="0.25">
      <c r="B5" t="s">
        <v>7</v>
      </c>
      <c r="C5" t="s">
        <v>5</v>
      </c>
      <c r="D5" t="s">
        <v>86</v>
      </c>
      <c r="E5" s="2">
        <v>263.35560801648001</v>
      </c>
      <c r="F5" s="2">
        <f>+E5*stddisc</f>
        <v>263.35560801648001</v>
      </c>
      <c r="G5" s="2"/>
      <c r="I5" t="s">
        <v>89</v>
      </c>
      <c r="J5" s="2">
        <v>263.35560801648001</v>
      </c>
      <c r="K5" s="2">
        <f>+J5*stddisc</f>
        <v>263.35560801648001</v>
      </c>
    </row>
    <row r="6" spans="1:11" x14ac:dyDescent="0.25">
      <c r="B6" t="s">
        <v>9</v>
      </c>
      <c r="C6" t="s">
        <v>10</v>
      </c>
      <c r="D6" t="s">
        <v>87</v>
      </c>
      <c r="E6" s="2">
        <v>18.175905411090003</v>
      </c>
      <c r="F6" s="2">
        <f>+E6*stddisc</f>
        <v>18.175905411090003</v>
      </c>
      <c r="G6" s="2"/>
      <c r="I6" t="s">
        <v>90</v>
      </c>
      <c r="J6" s="2">
        <v>18.175905411090003</v>
      </c>
      <c r="K6" s="2">
        <f>+J6*stddisc</f>
        <v>18.175905411090003</v>
      </c>
    </row>
    <row r="7" spans="1:11" x14ac:dyDescent="0.25">
      <c r="E7" s="2"/>
      <c r="G7" s="2"/>
      <c r="J7" s="2"/>
      <c r="K7" s="2"/>
    </row>
    <row r="8" spans="1:11" x14ac:dyDescent="0.25">
      <c r="D8" t="s">
        <v>41</v>
      </c>
      <c r="E8" s="2"/>
      <c r="G8" s="2"/>
      <c r="I8" t="s">
        <v>52</v>
      </c>
      <c r="J8" s="2"/>
      <c r="K8" s="2"/>
    </row>
    <row r="9" spans="1:11" x14ac:dyDescent="0.25">
      <c r="B9" t="s">
        <v>0</v>
      </c>
      <c r="C9" t="s">
        <v>1</v>
      </c>
      <c r="D9" t="s">
        <v>2</v>
      </c>
      <c r="E9" s="2" t="s">
        <v>3</v>
      </c>
      <c r="F9" s="2" t="str">
        <f>F3</f>
        <v>Dealer Price</v>
      </c>
      <c r="G9" s="2"/>
      <c r="I9" t="s">
        <v>2</v>
      </c>
      <c r="J9" s="2" t="s">
        <v>3</v>
      </c>
      <c r="K9" s="2" t="str">
        <f>K3</f>
        <v>Dealer Price</v>
      </c>
    </row>
    <row r="10" spans="1:11" x14ac:dyDescent="0.25">
      <c r="A10" t="s">
        <v>91</v>
      </c>
      <c r="B10" t="s">
        <v>4</v>
      </c>
      <c r="C10" t="s">
        <v>5</v>
      </c>
      <c r="D10" t="s">
        <v>92</v>
      </c>
      <c r="E10" s="2">
        <v>217.01875044485999</v>
      </c>
      <c r="F10" s="2">
        <f>+E10*stddisc</f>
        <v>217.01875044485999</v>
      </c>
      <c r="G10" s="2"/>
      <c r="I10" t="s">
        <v>95</v>
      </c>
      <c r="J10" s="2">
        <v>210.68708668577503</v>
      </c>
      <c r="K10" s="2">
        <f>+J10*stddisc</f>
        <v>210.68708668577503</v>
      </c>
    </row>
    <row r="11" spans="1:11" x14ac:dyDescent="0.25">
      <c r="B11" t="s">
        <v>7</v>
      </c>
      <c r="C11" t="s">
        <v>5</v>
      </c>
      <c r="D11" t="s">
        <v>93</v>
      </c>
      <c r="E11" s="2">
        <v>271.26043669312003</v>
      </c>
      <c r="F11" s="2">
        <f>+E11*stddisc</f>
        <v>271.26043669312003</v>
      </c>
      <c r="G11" s="2"/>
      <c r="I11" t="s">
        <v>96</v>
      </c>
      <c r="J11" s="2">
        <v>263.35560801648001</v>
      </c>
      <c r="K11" s="2">
        <f>+J11*stddisc</f>
        <v>263.35560801648001</v>
      </c>
    </row>
    <row r="12" spans="1:11" x14ac:dyDescent="0.25">
      <c r="B12" t="s">
        <v>9</v>
      </c>
      <c r="C12" t="s">
        <v>10</v>
      </c>
      <c r="D12" t="s">
        <v>94</v>
      </c>
      <c r="E12" s="2">
        <v>18.721962655199999</v>
      </c>
      <c r="F12" s="2">
        <f>+E12*stddisc</f>
        <v>18.721962655199999</v>
      </c>
      <c r="G12" s="2"/>
      <c r="I12" t="s">
        <v>97</v>
      </c>
      <c r="J12" s="2">
        <v>18.175905411090003</v>
      </c>
      <c r="K12" s="2">
        <f>+J12*stddisc</f>
        <v>18.175905411090003</v>
      </c>
    </row>
    <row r="13" spans="1:11" x14ac:dyDescent="0.25">
      <c r="E13" s="2"/>
      <c r="G13" s="2"/>
    </row>
    <row r="14" spans="1:11" x14ac:dyDescent="0.25">
      <c r="A14" t="s">
        <v>98</v>
      </c>
      <c r="D14" t="s">
        <v>99</v>
      </c>
      <c r="E14" s="2"/>
      <c r="G14" s="2"/>
    </row>
    <row r="15" spans="1:11" x14ac:dyDescent="0.25">
      <c r="B15" t="s">
        <v>0</v>
      </c>
      <c r="C15" t="s">
        <v>1</v>
      </c>
      <c r="D15" t="s">
        <v>2</v>
      </c>
      <c r="E15" s="2" t="s">
        <v>3</v>
      </c>
      <c r="F15" s="2" t="str">
        <f>F9</f>
        <v>Dealer Price</v>
      </c>
      <c r="G15" s="2"/>
    </row>
    <row r="16" spans="1:11" x14ac:dyDescent="0.25">
      <c r="A16" t="s">
        <v>865</v>
      </c>
      <c r="B16" t="s">
        <v>4</v>
      </c>
      <c r="C16" t="s">
        <v>5</v>
      </c>
      <c r="D16" t="s">
        <v>100</v>
      </c>
      <c r="E16" s="2">
        <v>670.57129713003508</v>
      </c>
      <c r="F16" s="2">
        <f>+E16*stddisc</f>
        <v>670.57129713003508</v>
      </c>
      <c r="G16" s="2"/>
    </row>
    <row r="17" spans="2:7" x14ac:dyDescent="0.25">
      <c r="B17" t="s">
        <v>7</v>
      </c>
      <c r="C17" t="s">
        <v>5</v>
      </c>
      <c r="D17" t="s">
        <v>101</v>
      </c>
      <c r="E17" s="2">
        <v>838.21087107180506</v>
      </c>
      <c r="F17" s="2">
        <f>+E17*stddisc</f>
        <v>838.21087107180506</v>
      </c>
      <c r="G17" s="2"/>
    </row>
    <row r="18" spans="2:7" x14ac:dyDescent="0.25">
      <c r="B18" t="s">
        <v>9</v>
      </c>
      <c r="C18" t="s">
        <v>10</v>
      </c>
      <c r="D18" t="s">
        <v>102</v>
      </c>
      <c r="E18" s="2">
        <v>48.560090636925004</v>
      </c>
      <c r="F18" s="2">
        <f>+E18*stddisc</f>
        <v>48.560090636925004</v>
      </c>
      <c r="G18" s="2"/>
    </row>
  </sheetData>
  <pageMargins left="0.7" right="0.7" top="0.75" bottom="0.75" header="0.3" footer="0.3"/>
  <pageSetup orientation="portrait" horizontalDpi="4294967294" verticalDpi="429496729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7"/>
  </sheetPr>
  <dimension ref="A1:L21"/>
  <sheetViews>
    <sheetView zoomScaleNormal="100" workbookViewId="0">
      <selection activeCell="G29" sqref="G29"/>
    </sheetView>
  </sheetViews>
  <sheetFormatPr defaultRowHeight="15" x14ac:dyDescent="0.25"/>
  <cols>
    <col min="1" max="1" width="22.5703125" bestFit="1" customWidth="1"/>
    <col min="2" max="2" width="4.5703125" bestFit="1" customWidth="1"/>
    <col min="3" max="3" width="5" bestFit="1" customWidth="1"/>
    <col min="4" max="4" width="15.85546875" bestFit="1" customWidth="1"/>
    <col min="5" max="6" width="12.140625" customWidth="1"/>
    <col min="7" max="7" width="3.5703125" customWidth="1"/>
    <col min="8" max="8" width="5.42578125" customWidth="1"/>
    <col min="9" max="9" width="16" bestFit="1" customWidth="1"/>
    <col min="10" max="10" width="11.140625" customWidth="1"/>
    <col min="11" max="11" width="13.28515625" bestFit="1" customWidth="1"/>
    <col min="12" max="12" width="4.140625" style="3" customWidth="1"/>
  </cols>
  <sheetData>
    <row r="1" spans="1:11" x14ac:dyDescent="0.25">
      <c r="D1" t="s">
        <v>19</v>
      </c>
      <c r="I1" t="s">
        <v>20</v>
      </c>
    </row>
    <row r="2" spans="1:11" x14ac:dyDescent="0.25">
      <c r="B2" t="s">
        <v>0</v>
      </c>
      <c r="C2" t="s">
        <v>1</v>
      </c>
      <c r="D2" t="s">
        <v>2</v>
      </c>
      <c r="E2" t="s">
        <v>3</v>
      </c>
      <c r="F2" t="s">
        <v>929</v>
      </c>
      <c r="I2" t="s">
        <v>2</v>
      </c>
      <c r="J2" t="s">
        <v>3</v>
      </c>
      <c r="K2" t="s">
        <v>929</v>
      </c>
    </row>
    <row r="3" spans="1:11" x14ac:dyDescent="0.25">
      <c r="A3" t="s">
        <v>862</v>
      </c>
      <c r="B3" t="s">
        <v>4</v>
      </c>
      <c r="C3" t="s">
        <v>5</v>
      </c>
      <c r="D3" t="s">
        <v>103</v>
      </c>
      <c r="E3" s="3">
        <v>885.60083904277997</v>
      </c>
      <c r="F3" s="3">
        <f t="shared" ref="F3:F10" si="0">+E3*stddisc</f>
        <v>885.60083904277997</v>
      </c>
      <c r="G3" s="3"/>
      <c r="I3" t="s">
        <v>111</v>
      </c>
      <c r="J3" s="3">
        <v>885.60083904277997</v>
      </c>
      <c r="K3" s="3">
        <f t="shared" ref="K3:K10" si="1">+J3*stddisc</f>
        <v>885.60083904277997</v>
      </c>
    </row>
    <row r="4" spans="1:11" x14ac:dyDescent="0.25">
      <c r="B4" t="s">
        <v>7</v>
      </c>
      <c r="C4" t="s">
        <v>5</v>
      </c>
      <c r="D4" t="s">
        <v>104</v>
      </c>
      <c r="E4" s="3">
        <v>1106.7280201814201</v>
      </c>
      <c r="F4" s="3">
        <f t="shared" si="0"/>
        <v>1106.7280201814201</v>
      </c>
      <c r="G4" s="3"/>
      <c r="I4" t="s">
        <v>112</v>
      </c>
      <c r="J4" s="3">
        <v>1106.7280201814201</v>
      </c>
      <c r="K4" s="3">
        <f t="shared" si="1"/>
        <v>1106.7280201814201</v>
      </c>
    </row>
    <row r="5" spans="1:11" x14ac:dyDescent="0.25">
      <c r="B5" t="s">
        <v>9</v>
      </c>
      <c r="C5" t="s">
        <v>10</v>
      </c>
      <c r="D5" t="s">
        <v>105</v>
      </c>
      <c r="E5" s="3">
        <v>64.122722094060009</v>
      </c>
      <c r="F5" s="3">
        <f t="shared" si="0"/>
        <v>64.122722094060009</v>
      </c>
      <c r="G5" s="3"/>
      <c r="I5" t="s">
        <v>113</v>
      </c>
      <c r="J5" s="3">
        <v>64.122722094060009</v>
      </c>
      <c r="K5" s="3">
        <f t="shared" si="1"/>
        <v>64.122722094060009</v>
      </c>
    </row>
    <row r="6" spans="1:11" x14ac:dyDescent="0.25">
      <c r="A6" t="s">
        <v>866</v>
      </c>
      <c r="B6" t="s">
        <v>4</v>
      </c>
      <c r="C6" t="s">
        <v>5</v>
      </c>
      <c r="D6" t="s">
        <v>106</v>
      </c>
      <c r="E6" s="3">
        <v>932.14571842168016</v>
      </c>
      <c r="F6" s="3">
        <f t="shared" si="0"/>
        <v>932.14571842168016</v>
      </c>
      <c r="G6" s="3"/>
      <c r="I6" t="s">
        <v>114</v>
      </c>
      <c r="J6" s="3">
        <v>932.14571842168016</v>
      </c>
      <c r="K6" s="3">
        <f t="shared" si="1"/>
        <v>932.14571842168016</v>
      </c>
    </row>
    <row r="7" spans="1:11" x14ac:dyDescent="0.25">
      <c r="B7" t="s">
        <v>7</v>
      </c>
      <c r="C7" t="s">
        <v>5</v>
      </c>
      <c r="D7" t="s">
        <v>107</v>
      </c>
      <c r="E7" s="3">
        <v>1165.1821480271001</v>
      </c>
      <c r="F7" s="3">
        <f t="shared" si="0"/>
        <v>1165.1821480271001</v>
      </c>
      <c r="G7" s="3"/>
      <c r="I7" t="s">
        <v>115</v>
      </c>
      <c r="J7" s="3">
        <v>1165.1821480271001</v>
      </c>
      <c r="K7" s="3">
        <f t="shared" si="1"/>
        <v>1165.1821480271001</v>
      </c>
    </row>
    <row r="8" spans="1:11" x14ac:dyDescent="0.25">
      <c r="B8" t="s">
        <v>9</v>
      </c>
      <c r="C8" t="s">
        <v>10</v>
      </c>
      <c r="D8" t="s">
        <v>108</v>
      </c>
      <c r="E8" s="3">
        <v>67.510000000000005</v>
      </c>
      <c r="F8" s="3">
        <f t="shared" si="0"/>
        <v>67.510000000000005</v>
      </c>
      <c r="G8" s="3"/>
      <c r="I8" t="s">
        <v>116</v>
      </c>
      <c r="J8" s="3">
        <v>67.510000000000005</v>
      </c>
      <c r="K8" s="3">
        <f t="shared" si="1"/>
        <v>67.510000000000005</v>
      </c>
    </row>
    <row r="9" spans="1:11" x14ac:dyDescent="0.25">
      <c r="A9" t="s">
        <v>949</v>
      </c>
      <c r="B9" t="s">
        <v>4</v>
      </c>
      <c r="C9" t="s">
        <v>5</v>
      </c>
      <c r="D9" t="s">
        <v>109</v>
      </c>
      <c r="E9" s="3">
        <v>1000.7669120981701</v>
      </c>
      <c r="F9" s="3">
        <f t="shared" si="0"/>
        <v>1000.7669120981701</v>
      </c>
      <c r="G9" s="3"/>
      <c r="I9" t="s">
        <v>117</v>
      </c>
      <c r="J9" s="3">
        <v>1000.7669120981701</v>
      </c>
      <c r="K9" s="3">
        <f t="shared" si="1"/>
        <v>1000.7669120981701</v>
      </c>
    </row>
    <row r="10" spans="1:11" x14ac:dyDescent="0.25">
      <c r="B10" t="s">
        <v>9</v>
      </c>
      <c r="C10" t="s">
        <v>10</v>
      </c>
      <c r="D10" t="s">
        <v>110</v>
      </c>
      <c r="E10" s="3">
        <v>72.469597111170003</v>
      </c>
      <c r="F10" s="3">
        <f t="shared" si="0"/>
        <v>72.469597111170003</v>
      </c>
      <c r="G10" s="3"/>
      <c r="I10" t="s">
        <v>118</v>
      </c>
      <c r="J10" s="3">
        <v>72.469597111170003</v>
      </c>
      <c r="K10" s="3">
        <f t="shared" si="1"/>
        <v>72.469597111170003</v>
      </c>
    </row>
    <row r="11" spans="1:11" x14ac:dyDescent="0.25">
      <c r="E11" s="3"/>
      <c r="F11" s="3"/>
      <c r="J11" s="3"/>
      <c r="K11" s="3"/>
    </row>
    <row r="12" spans="1:11" x14ac:dyDescent="0.25">
      <c r="D12" t="s">
        <v>41</v>
      </c>
      <c r="E12" s="3"/>
      <c r="F12" s="3"/>
      <c r="I12" t="s">
        <v>52</v>
      </c>
      <c r="J12" s="3"/>
      <c r="K12" s="3"/>
    </row>
    <row r="13" spans="1:11" x14ac:dyDescent="0.25">
      <c r="B13" t="s">
        <v>0</v>
      </c>
      <c r="C13" t="s">
        <v>1</v>
      </c>
      <c r="D13" t="s">
        <v>2</v>
      </c>
      <c r="E13" t="s">
        <v>3</v>
      </c>
      <c r="F13" s="3" t="str">
        <f>F2</f>
        <v>Dealer Price</v>
      </c>
      <c r="I13" t="s">
        <v>2</v>
      </c>
      <c r="J13" t="s">
        <v>3</v>
      </c>
      <c r="K13" s="3" t="str">
        <f>K2</f>
        <v>Dealer Price</v>
      </c>
    </row>
    <row r="14" spans="1:11" x14ac:dyDescent="0.25">
      <c r="A14" t="s">
        <v>862</v>
      </c>
      <c r="B14" t="s">
        <v>4</v>
      </c>
      <c r="C14" t="s">
        <v>5</v>
      </c>
      <c r="D14" t="s">
        <v>119</v>
      </c>
      <c r="E14" s="3">
        <v>912.17</v>
      </c>
      <c r="F14" s="3">
        <f t="shared" ref="F14:F21" si="2">+E14*stddisc</f>
        <v>912.17</v>
      </c>
      <c r="G14" s="3"/>
      <c r="I14" t="s">
        <v>127</v>
      </c>
      <c r="J14" s="3">
        <v>885.60083904277997</v>
      </c>
      <c r="K14" s="3">
        <f t="shared" ref="K14:K21" si="3">+J14*stddisc</f>
        <v>885.60083904277997</v>
      </c>
    </row>
    <row r="15" spans="1:11" x14ac:dyDescent="0.25">
      <c r="B15" t="s">
        <v>7</v>
      </c>
      <c r="C15" t="s">
        <v>5</v>
      </c>
      <c r="D15" t="s">
        <v>120</v>
      </c>
      <c r="E15" s="3">
        <v>1139.9335011684902</v>
      </c>
      <c r="F15" s="3">
        <f t="shared" si="2"/>
        <v>1139.9335011684902</v>
      </c>
      <c r="G15" s="3"/>
      <c r="I15" t="s">
        <v>128</v>
      </c>
      <c r="J15" s="3">
        <v>1106.7280201814201</v>
      </c>
      <c r="K15" s="3">
        <f t="shared" si="3"/>
        <v>1106.7280201814201</v>
      </c>
    </row>
    <row r="16" spans="1:11" x14ac:dyDescent="0.25">
      <c r="B16" t="s">
        <v>9</v>
      </c>
      <c r="C16" t="s">
        <v>10</v>
      </c>
      <c r="D16" t="s">
        <v>121</v>
      </c>
      <c r="E16" s="3">
        <v>66.046923811400006</v>
      </c>
      <c r="F16" s="3">
        <f t="shared" si="2"/>
        <v>66.046923811400006</v>
      </c>
      <c r="G16" s="3"/>
      <c r="I16" t="s">
        <v>129</v>
      </c>
      <c r="J16" s="3">
        <v>64.122722094060009</v>
      </c>
      <c r="K16" s="3">
        <f t="shared" si="3"/>
        <v>64.122722094060009</v>
      </c>
    </row>
    <row r="17" spans="1:11" x14ac:dyDescent="0.25">
      <c r="A17" t="s">
        <v>866</v>
      </c>
      <c r="B17" t="s">
        <v>4</v>
      </c>
      <c r="C17" t="s">
        <v>5</v>
      </c>
      <c r="D17" t="s">
        <v>122</v>
      </c>
      <c r="E17" s="3">
        <v>960.11165013788502</v>
      </c>
      <c r="F17" s="3">
        <f t="shared" si="2"/>
        <v>960.11165013788502</v>
      </c>
      <c r="G17" s="3"/>
      <c r="I17" t="s">
        <v>130</v>
      </c>
      <c r="J17" s="3">
        <v>932.14571842168016</v>
      </c>
      <c r="K17" s="3">
        <f t="shared" si="3"/>
        <v>932.14571842168016</v>
      </c>
    </row>
    <row r="18" spans="1:11" x14ac:dyDescent="0.25">
      <c r="B18" t="s">
        <v>7</v>
      </c>
      <c r="C18" t="s">
        <v>5</v>
      </c>
      <c r="D18" t="s">
        <v>123</v>
      </c>
      <c r="E18" s="3">
        <v>1200.1298116501403</v>
      </c>
      <c r="F18" s="3">
        <f t="shared" si="2"/>
        <v>1200.1298116501403</v>
      </c>
      <c r="G18" s="3"/>
      <c r="I18" t="s">
        <v>131</v>
      </c>
      <c r="J18" s="3">
        <v>1165.1821480271001</v>
      </c>
      <c r="K18" s="3">
        <f t="shared" si="3"/>
        <v>1165.1821480271001</v>
      </c>
    </row>
    <row r="19" spans="1:11" x14ac:dyDescent="0.25">
      <c r="B19" t="s">
        <v>9</v>
      </c>
      <c r="C19" t="s">
        <v>10</v>
      </c>
      <c r="D19" t="s">
        <v>124</v>
      </c>
      <c r="E19" s="3">
        <v>69.540000000000006</v>
      </c>
      <c r="F19" s="3">
        <f t="shared" si="2"/>
        <v>69.540000000000006</v>
      </c>
      <c r="G19" s="3"/>
      <c r="I19" t="s">
        <v>132</v>
      </c>
      <c r="J19" s="3">
        <v>67.510000000000005</v>
      </c>
      <c r="K19" s="3">
        <f t="shared" si="3"/>
        <v>67.510000000000005</v>
      </c>
    </row>
    <row r="20" spans="1:11" x14ac:dyDescent="0.25">
      <c r="A20" t="s">
        <v>949</v>
      </c>
      <c r="B20" t="s">
        <v>4</v>
      </c>
      <c r="C20" t="s">
        <v>5</v>
      </c>
      <c r="D20" t="s">
        <v>125</v>
      </c>
      <c r="E20" s="3">
        <v>1030.787059161265</v>
      </c>
      <c r="F20" s="3">
        <f t="shared" si="2"/>
        <v>1030.787059161265</v>
      </c>
      <c r="G20" s="3"/>
      <c r="I20" t="s">
        <v>133</v>
      </c>
      <c r="J20" s="3">
        <v>1000.7669120981701</v>
      </c>
      <c r="K20" s="3">
        <f t="shared" si="3"/>
        <v>1000.7669120981701</v>
      </c>
    </row>
    <row r="21" spans="1:11" x14ac:dyDescent="0.25">
      <c r="B21" t="s">
        <v>9</v>
      </c>
      <c r="C21" t="s">
        <v>10</v>
      </c>
      <c r="D21" t="s">
        <v>126</v>
      </c>
      <c r="E21" s="3">
        <v>74.66</v>
      </c>
      <c r="F21" s="3">
        <f t="shared" si="2"/>
        <v>74.66</v>
      </c>
      <c r="G21" s="3"/>
      <c r="I21" t="s">
        <v>134</v>
      </c>
      <c r="J21" s="3">
        <v>72.469597111170003</v>
      </c>
      <c r="K21" s="3">
        <f t="shared" si="3"/>
        <v>72.469597111170003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7"/>
  </sheetPr>
  <dimension ref="A1:N22"/>
  <sheetViews>
    <sheetView zoomScaleNormal="100" workbookViewId="0"/>
  </sheetViews>
  <sheetFormatPr defaultRowHeight="15" x14ac:dyDescent="0.25"/>
  <cols>
    <col min="1" max="1" width="23.7109375" bestFit="1" customWidth="1"/>
    <col min="2" max="2" width="4.5703125" bestFit="1" customWidth="1"/>
    <col min="3" max="3" width="5" bestFit="1" customWidth="1"/>
    <col min="4" max="4" width="17.7109375" bestFit="1" customWidth="1"/>
    <col min="5" max="5" width="10.5703125" customWidth="1"/>
    <col min="6" max="6" width="11.7109375" bestFit="1" customWidth="1"/>
    <col min="7" max="7" width="4" customWidth="1"/>
    <col min="8" max="8" width="4.7109375" customWidth="1"/>
    <col min="9" max="9" width="3.140625" customWidth="1"/>
    <col min="10" max="10" width="17.85546875" bestFit="1" customWidth="1"/>
    <col min="11" max="11" width="10.5703125" customWidth="1"/>
    <col min="12" max="12" width="11.7109375" bestFit="1" customWidth="1"/>
    <col min="13" max="13" width="10.5703125" customWidth="1"/>
    <col min="14" max="14" width="2" style="3" customWidth="1"/>
  </cols>
  <sheetData>
    <row r="1" spans="1:13" x14ac:dyDescent="0.25">
      <c r="D1" t="s">
        <v>19</v>
      </c>
      <c r="J1" t="s">
        <v>20</v>
      </c>
    </row>
    <row r="2" spans="1:13" x14ac:dyDescent="0.25">
      <c r="B2" t="s">
        <v>0</v>
      </c>
      <c r="C2" t="s">
        <v>1</v>
      </c>
      <c r="D2" t="s">
        <v>2</v>
      </c>
      <c r="E2" t="s">
        <v>3</v>
      </c>
      <c r="F2" t="s">
        <v>929</v>
      </c>
      <c r="J2" t="s">
        <v>2</v>
      </c>
      <c r="K2" t="s">
        <v>3</v>
      </c>
      <c r="L2" t="s">
        <v>929</v>
      </c>
    </row>
    <row r="3" spans="1:13" x14ac:dyDescent="0.25">
      <c r="A3" t="s">
        <v>862</v>
      </c>
      <c r="B3" t="s">
        <v>4</v>
      </c>
      <c r="C3" t="s">
        <v>5</v>
      </c>
      <c r="D3" t="s">
        <v>135</v>
      </c>
      <c r="E3" s="3">
        <v>1106.27</v>
      </c>
      <c r="F3" s="3">
        <f t="shared" ref="F3:F10" si="0">+E3*stddisc</f>
        <v>1106.27</v>
      </c>
      <c r="G3" s="3"/>
      <c r="H3" s="3"/>
      <c r="J3" t="s">
        <v>143</v>
      </c>
      <c r="K3" s="3">
        <v>1106.27</v>
      </c>
      <c r="L3" s="3">
        <f t="shared" ref="L3:L10" si="1">+K3*stddisc</f>
        <v>1106.27</v>
      </c>
      <c r="M3" s="3"/>
    </row>
    <row r="4" spans="1:13" x14ac:dyDescent="0.25">
      <c r="B4" t="s">
        <v>7</v>
      </c>
      <c r="C4" t="s">
        <v>5</v>
      </c>
      <c r="D4" t="s">
        <v>136</v>
      </c>
      <c r="E4" s="3">
        <v>1382.5519352717452</v>
      </c>
      <c r="F4" s="3">
        <f t="shared" si="0"/>
        <v>1382.5519352717452</v>
      </c>
      <c r="G4" s="3"/>
      <c r="H4" s="3"/>
      <c r="J4" t="s">
        <v>144</v>
      </c>
      <c r="K4" s="3">
        <v>1382.5519352717452</v>
      </c>
      <c r="L4" s="3">
        <f t="shared" si="1"/>
        <v>1382.5519352717452</v>
      </c>
      <c r="M4" s="3"/>
    </row>
    <row r="5" spans="1:13" x14ac:dyDescent="0.25">
      <c r="B5" t="s">
        <v>9</v>
      </c>
      <c r="C5" t="s">
        <v>10</v>
      </c>
      <c r="D5" t="s">
        <v>137</v>
      </c>
      <c r="E5" s="3">
        <v>77.904166826359997</v>
      </c>
      <c r="F5" s="3">
        <f t="shared" si="0"/>
        <v>77.904166826359997</v>
      </c>
      <c r="G5" s="3"/>
      <c r="H5" s="3"/>
      <c r="J5" t="s">
        <v>145</v>
      </c>
      <c r="K5" s="3">
        <v>77.904166826359997</v>
      </c>
      <c r="L5" s="3">
        <f t="shared" si="1"/>
        <v>77.904166826359997</v>
      </c>
      <c r="M5" s="3"/>
    </row>
    <row r="6" spans="1:13" x14ac:dyDescent="0.25">
      <c r="A6" t="s">
        <v>863</v>
      </c>
      <c r="B6" t="s">
        <v>4</v>
      </c>
      <c r="C6" t="s">
        <v>5</v>
      </c>
      <c r="D6" t="s">
        <v>138</v>
      </c>
      <c r="E6" s="3">
        <v>1152.80485049394</v>
      </c>
      <c r="F6" s="3">
        <f t="shared" si="0"/>
        <v>1152.80485049394</v>
      </c>
      <c r="G6" s="3"/>
      <c r="H6" s="3"/>
      <c r="J6" t="s">
        <v>146</v>
      </c>
      <c r="K6" s="3">
        <v>1152.80485049394</v>
      </c>
      <c r="L6" s="3">
        <f t="shared" si="1"/>
        <v>1152.80485049394</v>
      </c>
      <c r="M6" s="3"/>
    </row>
    <row r="7" spans="1:13" x14ac:dyDescent="0.25">
      <c r="B7" t="s">
        <v>7</v>
      </c>
      <c r="C7" t="s">
        <v>5</v>
      </c>
      <c r="D7" t="s">
        <v>139</v>
      </c>
      <c r="E7" s="3">
        <v>1441.0060631174251</v>
      </c>
      <c r="F7" s="3">
        <f t="shared" si="0"/>
        <v>1441.0060631174251</v>
      </c>
      <c r="G7" s="3"/>
      <c r="H7" s="3"/>
      <c r="J7" t="s">
        <v>147</v>
      </c>
      <c r="K7" s="3">
        <v>1441.0060631174251</v>
      </c>
      <c r="L7" s="3">
        <f t="shared" si="1"/>
        <v>1441.0060631174251</v>
      </c>
      <c r="M7" s="3"/>
    </row>
    <row r="8" spans="1:13" x14ac:dyDescent="0.25">
      <c r="B8" t="s">
        <v>9</v>
      </c>
      <c r="C8" t="s">
        <v>10</v>
      </c>
      <c r="D8" t="s">
        <v>140</v>
      </c>
      <c r="E8" s="3">
        <v>81.297522557615011</v>
      </c>
      <c r="F8" s="3">
        <f t="shared" si="0"/>
        <v>81.297522557615011</v>
      </c>
      <c r="G8" s="3"/>
      <c r="H8" s="3"/>
      <c r="J8" t="s">
        <v>148</v>
      </c>
      <c r="K8" s="3">
        <v>81.297522557615011</v>
      </c>
      <c r="L8" s="3">
        <f t="shared" si="1"/>
        <v>81.297522557615011</v>
      </c>
      <c r="M8" s="3"/>
    </row>
    <row r="9" spans="1:13" x14ac:dyDescent="0.25">
      <c r="A9" t="s">
        <v>949</v>
      </c>
      <c r="B9" t="s">
        <v>4</v>
      </c>
      <c r="C9" t="s">
        <v>5</v>
      </c>
      <c r="D9" t="s">
        <v>141</v>
      </c>
      <c r="E9" s="3">
        <v>1246.68</v>
      </c>
      <c r="F9" s="3">
        <f t="shared" si="0"/>
        <v>1246.68</v>
      </c>
      <c r="G9" s="3"/>
      <c r="H9" s="3"/>
      <c r="J9" t="s">
        <v>149</v>
      </c>
      <c r="K9" s="3">
        <v>1246.68</v>
      </c>
      <c r="L9" s="3">
        <f t="shared" si="1"/>
        <v>1246.68</v>
      </c>
      <c r="M9" s="3"/>
    </row>
    <row r="10" spans="1:13" x14ac:dyDescent="0.25">
      <c r="B10" t="s">
        <v>9</v>
      </c>
      <c r="C10" t="s">
        <v>10</v>
      </c>
      <c r="D10" t="s">
        <v>142</v>
      </c>
      <c r="E10" s="3">
        <v>87.837208123980005</v>
      </c>
      <c r="F10" s="3">
        <f t="shared" si="0"/>
        <v>87.837208123980005</v>
      </c>
      <c r="G10" s="3"/>
      <c r="H10" s="3"/>
      <c r="J10" t="s">
        <v>150</v>
      </c>
      <c r="K10" s="3">
        <v>87.837208123980005</v>
      </c>
      <c r="L10" s="3">
        <f t="shared" si="1"/>
        <v>87.837208123980005</v>
      </c>
      <c r="M10" s="3"/>
    </row>
    <row r="11" spans="1:13" x14ac:dyDescent="0.25">
      <c r="E11" s="3"/>
      <c r="F11" s="3"/>
      <c r="K11" s="3"/>
      <c r="L11" s="3"/>
    </row>
    <row r="12" spans="1:13" x14ac:dyDescent="0.25">
      <c r="D12" t="s">
        <v>41</v>
      </c>
      <c r="E12" s="3"/>
      <c r="F12" s="3"/>
      <c r="J12" t="s">
        <v>52</v>
      </c>
      <c r="K12" s="3"/>
      <c r="L12" s="3"/>
    </row>
    <row r="13" spans="1:13" x14ac:dyDescent="0.25">
      <c r="B13" t="s">
        <v>0</v>
      </c>
      <c r="C13" t="s">
        <v>1</v>
      </c>
      <c r="D13" t="s">
        <v>2</v>
      </c>
      <c r="E13" t="s">
        <v>3</v>
      </c>
      <c r="F13" s="3" t="str">
        <f>F2</f>
        <v>Dealer Price</v>
      </c>
      <c r="J13" t="s">
        <v>2</v>
      </c>
      <c r="K13" t="s">
        <v>3</v>
      </c>
      <c r="L13" s="3" t="str">
        <f>L2</f>
        <v>Dealer Price</v>
      </c>
    </row>
    <row r="14" spans="1:13" x14ac:dyDescent="0.25">
      <c r="A14" t="s">
        <v>862</v>
      </c>
      <c r="B14" t="s">
        <v>4</v>
      </c>
      <c r="C14" t="s">
        <v>5</v>
      </c>
      <c r="D14" t="s">
        <v>151</v>
      </c>
      <c r="E14" s="3">
        <v>1139.452450739155</v>
      </c>
      <c r="F14" s="3">
        <f t="shared" ref="F14:F21" si="2">+E14*stddisc</f>
        <v>1139.452450739155</v>
      </c>
      <c r="G14" s="3"/>
      <c r="H14" s="3"/>
      <c r="J14" t="s">
        <v>159</v>
      </c>
      <c r="K14" s="3">
        <v>1106.27</v>
      </c>
      <c r="L14" s="3">
        <f t="shared" ref="L14:L21" si="3">+K14*stddisc</f>
        <v>1106.27</v>
      </c>
      <c r="M14" s="3"/>
    </row>
    <row r="15" spans="1:13" x14ac:dyDescent="0.25">
      <c r="B15" t="s">
        <v>7</v>
      </c>
      <c r="C15" t="s">
        <v>5</v>
      </c>
      <c r="D15" t="s">
        <v>152</v>
      </c>
      <c r="E15" s="3">
        <v>1424.0262830981949</v>
      </c>
      <c r="F15" s="3">
        <f t="shared" si="2"/>
        <v>1424.0262830981949</v>
      </c>
      <c r="G15" s="3"/>
      <c r="H15" s="3"/>
      <c r="J15" t="s">
        <v>160</v>
      </c>
      <c r="K15" s="3">
        <v>1382.5519352717452</v>
      </c>
      <c r="L15" s="3">
        <f t="shared" si="3"/>
        <v>1382.5519352717452</v>
      </c>
      <c r="M15" s="3"/>
    </row>
    <row r="16" spans="1:13" x14ac:dyDescent="0.25">
      <c r="B16" t="s">
        <v>9</v>
      </c>
      <c r="C16" t="s">
        <v>10</v>
      </c>
      <c r="D16" t="s">
        <v>153</v>
      </c>
      <c r="E16" s="3">
        <v>80.25</v>
      </c>
      <c r="F16" s="3">
        <f t="shared" si="2"/>
        <v>80.25</v>
      </c>
      <c r="G16" s="3"/>
      <c r="H16" s="3"/>
      <c r="J16" t="s">
        <v>161</v>
      </c>
      <c r="K16" s="3">
        <v>77.904166826359997</v>
      </c>
      <c r="L16" s="3">
        <f t="shared" si="3"/>
        <v>77.904166826359997</v>
      </c>
      <c r="M16" s="3"/>
    </row>
    <row r="17" spans="1:13" x14ac:dyDescent="0.25">
      <c r="A17" t="s">
        <v>863</v>
      </c>
      <c r="B17" t="s">
        <v>4</v>
      </c>
      <c r="C17" t="s">
        <v>5</v>
      </c>
      <c r="D17" t="s">
        <v>154</v>
      </c>
      <c r="E17" s="3">
        <v>1187.3800000000001</v>
      </c>
      <c r="F17" s="3">
        <f t="shared" si="2"/>
        <v>1187.3800000000001</v>
      </c>
      <c r="G17" s="3"/>
      <c r="H17" s="3"/>
      <c r="J17" t="s">
        <v>162</v>
      </c>
      <c r="K17" s="3">
        <v>1152.80485049394</v>
      </c>
      <c r="L17" s="3">
        <f t="shared" si="3"/>
        <v>1152.80485049394</v>
      </c>
      <c r="M17" s="3"/>
    </row>
    <row r="18" spans="1:13" x14ac:dyDescent="0.25">
      <c r="B18" t="s">
        <v>7</v>
      </c>
      <c r="C18" t="s">
        <v>5</v>
      </c>
      <c r="D18" t="s">
        <v>155</v>
      </c>
      <c r="E18" s="3">
        <v>1484.2355949427999</v>
      </c>
      <c r="F18" s="3">
        <f t="shared" si="2"/>
        <v>1484.2355949427999</v>
      </c>
      <c r="G18" s="3"/>
      <c r="H18" s="3"/>
      <c r="J18" t="s">
        <v>163</v>
      </c>
      <c r="K18" s="3">
        <v>1441.0060631174251</v>
      </c>
      <c r="L18" s="3">
        <f t="shared" si="3"/>
        <v>1441.0060631174251</v>
      </c>
      <c r="M18" s="3"/>
    </row>
    <row r="19" spans="1:13" x14ac:dyDescent="0.25">
      <c r="B19" t="s">
        <v>9</v>
      </c>
      <c r="C19" t="s">
        <v>10</v>
      </c>
      <c r="D19" t="s">
        <v>156</v>
      </c>
      <c r="E19" s="3">
        <v>83.728777430200026</v>
      </c>
      <c r="F19" s="3">
        <f t="shared" si="2"/>
        <v>83.728777430200026</v>
      </c>
      <c r="G19" s="3"/>
      <c r="H19" s="3"/>
      <c r="J19" t="s">
        <v>164</v>
      </c>
      <c r="K19" s="3">
        <v>81.297522557615011</v>
      </c>
      <c r="L19" s="3">
        <f t="shared" si="3"/>
        <v>81.297522557615011</v>
      </c>
      <c r="M19" s="3"/>
    </row>
    <row r="20" spans="1:13" x14ac:dyDescent="0.25">
      <c r="A20" t="s">
        <v>949</v>
      </c>
      <c r="B20" t="s">
        <v>4</v>
      </c>
      <c r="C20" t="s">
        <v>5</v>
      </c>
      <c r="D20" t="s">
        <v>157</v>
      </c>
      <c r="E20" s="3">
        <v>1284.0796122505749</v>
      </c>
      <c r="F20" s="3">
        <f t="shared" si="2"/>
        <v>1284.0796122505749</v>
      </c>
      <c r="G20" s="3"/>
      <c r="H20" s="3"/>
      <c r="J20" t="s">
        <v>165</v>
      </c>
      <c r="K20" s="3">
        <v>1246.68</v>
      </c>
      <c r="L20" s="3">
        <f t="shared" si="3"/>
        <v>1246.68</v>
      </c>
      <c r="M20" s="3"/>
    </row>
    <row r="21" spans="1:13" x14ac:dyDescent="0.25">
      <c r="B21" t="s">
        <v>9</v>
      </c>
      <c r="C21" t="s">
        <v>10</v>
      </c>
      <c r="D21" t="s">
        <v>158</v>
      </c>
      <c r="E21" s="3">
        <v>90.476484803845011</v>
      </c>
      <c r="F21" s="3">
        <f t="shared" si="2"/>
        <v>90.476484803845011</v>
      </c>
      <c r="G21" s="3"/>
      <c r="H21" s="3"/>
      <c r="J21" t="s">
        <v>166</v>
      </c>
      <c r="K21" s="3">
        <v>87.837208123980005</v>
      </c>
      <c r="L21" s="3">
        <f t="shared" si="3"/>
        <v>87.837208123980005</v>
      </c>
      <c r="M21" s="3"/>
    </row>
    <row r="22" spans="1:13" x14ac:dyDescent="0.25">
      <c r="K22" s="3"/>
      <c r="M22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7"/>
  </sheetPr>
  <dimension ref="A1:L43"/>
  <sheetViews>
    <sheetView zoomScaleNormal="100" workbookViewId="0">
      <selection activeCell="E7" sqref="E7"/>
    </sheetView>
  </sheetViews>
  <sheetFormatPr defaultRowHeight="15" x14ac:dyDescent="0.25"/>
  <cols>
    <col min="1" max="1" width="32.85546875" customWidth="1"/>
    <col min="2" max="2" width="7" bestFit="1" customWidth="1"/>
    <col min="3" max="3" width="5" bestFit="1" customWidth="1"/>
    <col min="4" max="4" width="11.42578125" bestFit="1" customWidth="1"/>
    <col min="5" max="5" width="8.85546875" customWidth="1"/>
    <col min="6" max="6" width="11.7109375" bestFit="1" customWidth="1"/>
    <col min="7" max="7" width="2.7109375" customWidth="1"/>
    <col min="8" max="8" width="5.85546875" customWidth="1"/>
    <col min="9" max="9" width="9.5703125" bestFit="1" customWidth="1"/>
    <col min="11" max="11" width="13.28515625" style="3" bestFit="1" customWidth="1"/>
  </cols>
  <sheetData>
    <row r="1" spans="1:11" x14ac:dyDescent="0.25">
      <c r="A1" t="s">
        <v>167</v>
      </c>
      <c r="D1" t="s">
        <v>19</v>
      </c>
      <c r="I1" t="s">
        <v>20</v>
      </c>
    </row>
    <row r="2" spans="1:11" x14ac:dyDescent="0.25">
      <c r="B2" t="s">
        <v>0</v>
      </c>
      <c r="C2" t="s">
        <v>1</v>
      </c>
      <c r="D2" t="s">
        <v>2</v>
      </c>
      <c r="E2" t="s">
        <v>3</v>
      </c>
      <c r="F2" t="s">
        <v>929</v>
      </c>
      <c r="I2" t="s">
        <v>2</v>
      </c>
      <c r="J2" t="s">
        <v>3</v>
      </c>
      <c r="K2" s="3" t="str">
        <f>F2</f>
        <v>Dealer Price</v>
      </c>
    </row>
    <row r="3" spans="1:11" x14ac:dyDescent="0.25">
      <c r="A3" t="s">
        <v>168</v>
      </c>
      <c r="B3" t="s">
        <v>4</v>
      </c>
      <c r="C3" t="s">
        <v>5</v>
      </c>
      <c r="D3" t="s">
        <v>169</v>
      </c>
      <c r="E3" s="3">
        <v>242.6</v>
      </c>
      <c r="F3" s="3">
        <f>+E3*stddisc</f>
        <v>242.6</v>
      </c>
      <c r="G3" s="3"/>
      <c r="I3" t="s">
        <v>172</v>
      </c>
      <c r="J3" s="3">
        <v>242.6</v>
      </c>
      <c r="K3" s="3">
        <f>J3*stddisc</f>
        <v>242.6</v>
      </c>
    </row>
    <row r="4" spans="1:11" x14ac:dyDescent="0.25">
      <c r="B4" t="s">
        <v>7</v>
      </c>
      <c r="C4" t="s">
        <v>5</v>
      </c>
      <c r="D4" t="s">
        <v>170</v>
      </c>
      <c r="E4" s="3">
        <v>303.25</v>
      </c>
      <c r="F4" s="3">
        <f>+E4*stddisc</f>
        <v>303.25</v>
      </c>
      <c r="G4" s="3"/>
      <c r="I4" t="s">
        <v>173</v>
      </c>
      <c r="J4" s="3">
        <v>303.25</v>
      </c>
      <c r="K4" s="3">
        <f>J4*stddisc</f>
        <v>303.25</v>
      </c>
    </row>
    <row r="5" spans="1:11" x14ac:dyDescent="0.25">
      <c r="B5" t="s">
        <v>9</v>
      </c>
      <c r="C5" t="s">
        <v>10</v>
      </c>
      <c r="D5" t="s">
        <v>171</v>
      </c>
      <c r="E5" s="3">
        <v>19.63</v>
      </c>
      <c r="F5" s="3">
        <f>+E5*stddisc</f>
        <v>19.63</v>
      </c>
      <c r="G5" s="3"/>
      <c r="I5" t="s">
        <v>174</v>
      </c>
      <c r="J5" s="3">
        <v>19.63</v>
      </c>
      <c r="K5" s="3">
        <f>J5*stddisc</f>
        <v>19.63</v>
      </c>
    </row>
    <row r="6" spans="1:11" x14ac:dyDescent="0.25">
      <c r="E6" s="3"/>
      <c r="J6" s="3"/>
    </row>
    <row r="7" spans="1:11" x14ac:dyDescent="0.25">
      <c r="D7" t="s">
        <v>41</v>
      </c>
      <c r="E7" s="3"/>
      <c r="I7" t="s">
        <v>52</v>
      </c>
      <c r="J7" s="3"/>
    </row>
    <row r="8" spans="1:11" x14ac:dyDescent="0.25">
      <c r="B8" t="s">
        <v>0</v>
      </c>
      <c r="C8" t="s">
        <v>1</v>
      </c>
      <c r="D8" t="s">
        <v>2</v>
      </c>
      <c r="E8" t="s">
        <v>3</v>
      </c>
      <c r="F8" t="str">
        <f>F2</f>
        <v>Dealer Price</v>
      </c>
      <c r="I8" t="s">
        <v>2</v>
      </c>
      <c r="J8" t="s">
        <v>3</v>
      </c>
      <c r="K8" s="3" t="str">
        <f>F2</f>
        <v>Dealer Price</v>
      </c>
    </row>
    <row r="9" spans="1:11" x14ac:dyDescent="0.25">
      <c r="A9" t="s">
        <v>168</v>
      </c>
      <c r="B9" t="s">
        <v>4</v>
      </c>
      <c r="C9" t="s">
        <v>5</v>
      </c>
      <c r="D9" t="s">
        <v>175</v>
      </c>
      <c r="E9" s="3">
        <v>249.86019326919003</v>
      </c>
      <c r="F9" s="3">
        <f>+E9*stddisc</f>
        <v>249.86019326919003</v>
      </c>
      <c r="G9" s="3"/>
      <c r="I9" t="s">
        <v>178</v>
      </c>
      <c r="J9" s="3">
        <v>242.6</v>
      </c>
      <c r="K9" s="3">
        <f>J9*stddisc</f>
        <v>242.6</v>
      </c>
    </row>
    <row r="10" spans="1:11" x14ac:dyDescent="0.25">
      <c r="B10" t="s">
        <v>7</v>
      </c>
      <c r="C10" t="s">
        <v>5</v>
      </c>
      <c r="D10" t="s">
        <v>176</v>
      </c>
      <c r="E10" s="3">
        <v>312.33174226796501</v>
      </c>
      <c r="F10" s="3">
        <f>+E10*stddisc</f>
        <v>312.33174226796501</v>
      </c>
      <c r="G10" s="3"/>
      <c r="I10" t="s">
        <v>179</v>
      </c>
      <c r="J10" s="3">
        <v>303.25</v>
      </c>
      <c r="K10" s="3">
        <f>J10*stddisc</f>
        <v>303.25</v>
      </c>
    </row>
    <row r="11" spans="1:11" x14ac:dyDescent="0.25">
      <c r="B11" t="s">
        <v>9</v>
      </c>
      <c r="C11" t="s">
        <v>10</v>
      </c>
      <c r="D11" t="s">
        <v>177</v>
      </c>
      <c r="E11" s="3">
        <v>20.217119395025001</v>
      </c>
      <c r="F11" s="3">
        <f>+E11*stddisc</f>
        <v>20.217119395025001</v>
      </c>
      <c r="G11" s="3"/>
      <c r="I11" t="s">
        <v>180</v>
      </c>
      <c r="J11" s="3">
        <v>19.63</v>
      </c>
      <c r="K11" s="3">
        <f>J11*stddisc</f>
        <v>19.63</v>
      </c>
    </row>
    <row r="12" spans="1:11" x14ac:dyDescent="0.25">
      <c r="E12" s="3"/>
      <c r="J12" s="3"/>
    </row>
    <row r="13" spans="1:11" x14ac:dyDescent="0.25">
      <c r="A13" t="s">
        <v>181</v>
      </c>
      <c r="D13" t="s">
        <v>19</v>
      </c>
      <c r="E13" s="3"/>
      <c r="I13" t="s">
        <v>20</v>
      </c>
      <c r="J13" s="3"/>
    </row>
    <row r="14" spans="1:11" x14ac:dyDescent="0.25">
      <c r="A14" t="s">
        <v>182</v>
      </c>
      <c r="C14" t="s">
        <v>1</v>
      </c>
      <c r="D14" t="s">
        <v>2</v>
      </c>
      <c r="E14" t="s">
        <v>3</v>
      </c>
      <c r="F14" t="str">
        <f>F8</f>
        <v>Dealer Price</v>
      </c>
      <c r="I14" t="s">
        <v>2</v>
      </c>
      <c r="J14" t="s">
        <v>3</v>
      </c>
      <c r="K14" s="3" t="str">
        <f>F2</f>
        <v>Dealer Price</v>
      </c>
    </row>
    <row r="15" spans="1:11" x14ac:dyDescent="0.25">
      <c r="A15" t="s">
        <v>183</v>
      </c>
      <c r="C15" t="s">
        <v>5</v>
      </c>
      <c r="D15" t="s">
        <v>184</v>
      </c>
      <c r="E15" s="3">
        <v>37.28</v>
      </c>
      <c r="F15" s="3">
        <f>+E15*stddisc</f>
        <v>37.28</v>
      </c>
      <c r="G15" s="3"/>
      <c r="I15" t="s">
        <v>185</v>
      </c>
      <c r="J15" s="3">
        <v>37.28</v>
      </c>
      <c r="K15" s="3">
        <f>J15*stddisc</f>
        <v>37.28</v>
      </c>
    </row>
    <row r="16" spans="1:11" x14ac:dyDescent="0.25">
      <c r="E16" s="3"/>
      <c r="J16" s="3"/>
    </row>
    <row r="17" spans="1:12" x14ac:dyDescent="0.25">
      <c r="D17" t="s">
        <v>41</v>
      </c>
      <c r="E17" s="3"/>
      <c r="I17" t="s">
        <v>52</v>
      </c>
      <c r="J17" s="3"/>
    </row>
    <row r="18" spans="1:12" x14ac:dyDescent="0.25">
      <c r="C18" t="s">
        <v>1</v>
      </c>
      <c r="D18" t="s">
        <v>2</v>
      </c>
      <c r="E18" t="s">
        <v>3</v>
      </c>
      <c r="F18" t="str">
        <f>F14</f>
        <v>Dealer Price</v>
      </c>
      <c r="I18" t="s">
        <v>2</v>
      </c>
      <c r="J18" t="s">
        <v>3</v>
      </c>
      <c r="K18" s="3" t="str">
        <f>F2</f>
        <v>Dealer Price</v>
      </c>
    </row>
    <row r="19" spans="1:12" x14ac:dyDescent="0.25">
      <c r="A19" t="s">
        <v>183</v>
      </c>
      <c r="C19" t="s">
        <v>5</v>
      </c>
      <c r="D19" t="s">
        <v>186</v>
      </c>
      <c r="E19" s="3">
        <v>37.28</v>
      </c>
      <c r="F19" s="3">
        <f>+E19*stddisc</f>
        <v>37.28</v>
      </c>
      <c r="G19" s="3"/>
      <c r="I19" t="s">
        <v>187</v>
      </c>
      <c r="J19" s="3">
        <v>37.28</v>
      </c>
      <c r="K19" s="3">
        <f>J19*stddisc</f>
        <v>37.28</v>
      </c>
    </row>
    <row r="20" spans="1:12" x14ac:dyDescent="0.25">
      <c r="E20" s="3"/>
    </row>
    <row r="21" spans="1:12" x14ac:dyDescent="0.25">
      <c r="A21" t="s">
        <v>188</v>
      </c>
      <c r="E21" s="3"/>
    </row>
    <row r="22" spans="1:12" x14ac:dyDescent="0.25">
      <c r="A22" t="s">
        <v>189</v>
      </c>
      <c r="E22" s="3"/>
    </row>
    <row r="23" spans="1:12" x14ac:dyDescent="0.25">
      <c r="B23" t="s">
        <v>190</v>
      </c>
      <c r="C23" t="s">
        <v>1</v>
      </c>
      <c r="D23" t="s">
        <v>2</v>
      </c>
      <c r="E23" t="s">
        <v>3</v>
      </c>
      <c r="F23" t="str">
        <f>F18</f>
        <v>Dealer Price</v>
      </c>
    </row>
    <row r="24" spans="1:12" x14ac:dyDescent="0.25">
      <c r="A24" t="s">
        <v>862</v>
      </c>
      <c r="B24" t="s">
        <v>191</v>
      </c>
      <c r="C24" t="s">
        <v>5</v>
      </c>
      <c r="D24" t="s">
        <v>192</v>
      </c>
      <c r="E24" s="3">
        <v>135.9</v>
      </c>
      <c r="F24" s="3">
        <f>+E24*stddisc</f>
        <v>135.9</v>
      </c>
      <c r="G24" s="3"/>
      <c r="L24" s="3"/>
    </row>
    <row r="25" spans="1:12" x14ac:dyDescent="0.25">
      <c r="B25" t="s">
        <v>193</v>
      </c>
      <c r="C25" t="s">
        <v>5</v>
      </c>
      <c r="D25" t="s">
        <v>194</v>
      </c>
      <c r="E25" s="3">
        <v>169.87</v>
      </c>
      <c r="F25" s="3">
        <f>+E25*stddisc</f>
        <v>169.87</v>
      </c>
      <c r="G25" s="3"/>
    </row>
    <row r="26" spans="1:12" x14ac:dyDescent="0.25">
      <c r="B26" t="s">
        <v>195</v>
      </c>
      <c r="C26" t="s">
        <v>5</v>
      </c>
      <c r="D26" t="s">
        <v>196</v>
      </c>
      <c r="E26" s="3">
        <v>203.83536840849001</v>
      </c>
      <c r="F26" s="3">
        <f>+E26*stddisc</f>
        <v>203.83536840849001</v>
      </c>
      <c r="G26" s="3"/>
    </row>
    <row r="27" spans="1:12" x14ac:dyDescent="0.25">
      <c r="B27" t="s">
        <v>9</v>
      </c>
      <c r="C27" t="s">
        <v>10</v>
      </c>
      <c r="D27" t="s">
        <v>197</v>
      </c>
      <c r="E27" s="3">
        <v>40.187212893905006</v>
      </c>
      <c r="F27" s="3">
        <f>+E27*stddisc</f>
        <v>40.187212893905006</v>
      </c>
      <c r="G27" s="3"/>
      <c r="K27" s="3" t="s">
        <v>965</v>
      </c>
    </row>
    <row r="28" spans="1:12" x14ac:dyDescent="0.25">
      <c r="B28" t="s">
        <v>190</v>
      </c>
      <c r="C28" t="s">
        <v>1</v>
      </c>
      <c r="D28" t="s">
        <v>2</v>
      </c>
      <c r="E28" t="s">
        <v>3</v>
      </c>
      <c r="F28" s="3" t="s">
        <v>929</v>
      </c>
    </row>
    <row r="29" spans="1:12" x14ac:dyDescent="0.25">
      <c r="A29" t="s">
        <v>866</v>
      </c>
      <c r="B29" t="s">
        <v>191</v>
      </c>
      <c r="C29" t="s">
        <v>5</v>
      </c>
      <c r="D29" t="s">
        <v>198</v>
      </c>
      <c r="E29" s="3">
        <v>143.32</v>
      </c>
      <c r="F29" s="3">
        <f>+E29*stddisc</f>
        <v>143.32</v>
      </c>
      <c r="G29" s="3"/>
    </row>
    <row r="30" spans="1:12" x14ac:dyDescent="0.25">
      <c r="B30" t="s">
        <v>193</v>
      </c>
      <c r="C30" t="s">
        <v>5</v>
      </c>
      <c r="D30" t="s">
        <v>199</v>
      </c>
      <c r="E30" s="3">
        <v>179.15878151990003</v>
      </c>
      <c r="F30" s="3">
        <f>+E30*stddisc</f>
        <v>179.15878151990003</v>
      </c>
      <c r="G30" s="3"/>
    </row>
    <row r="31" spans="1:12" x14ac:dyDescent="0.25">
      <c r="B31" t="s">
        <v>195</v>
      </c>
      <c r="C31" t="s">
        <v>5</v>
      </c>
      <c r="D31" t="s">
        <v>200</v>
      </c>
      <c r="E31" s="3">
        <v>214.99053782388003</v>
      </c>
      <c r="F31" s="3">
        <f>+E31*stddisc</f>
        <v>214.99053782388003</v>
      </c>
      <c r="G31" s="3"/>
    </row>
    <row r="32" spans="1:12" x14ac:dyDescent="0.25">
      <c r="B32" t="s">
        <v>9</v>
      </c>
      <c r="C32" t="s">
        <v>10</v>
      </c>
      <c r="D32" t="s">
        <v>201</v>
      </c>
      <c r="E32" s="3">
        <v>42.04</v>
      </c>
      <c r="F32" s="3">
        <f>+E32*stddisc</f>
        <v>42.04</v>
      </c>
      <c r="G32" s="3"/>
    </row>
    <row r="34" spans="1:7" x14ac:dyDescent="0.25">
      <c r="A34" t="s">
        <v>202</v>
      </c>
    </row>
    <row r="35" spans="1:7" x14ac:dyDescent="0.25">
      <c r="A35" t="s">
        <v>203</v>
      </c>
    </row>
    <row r="36" spans="1:7" x14ac:dyDescent="0.25">
      <c r="B36" t="s">
        <v>190</v>
      </c>
      <c r="C36" t="s">
        <v>1</v>
      </c>
      <c r="D36" t="s">
        <v>2</v>
      </c>
      <c r="E36" t="s">
        <v>3</v>
      </c>
      <c r="F36" t="str">
        <f>F28</f>
        <v>Dealer Price</v>
      </c>
    </row>
    <row r="37" spans="1:7" x14ac:dyDescent="0.25">
      <c r="A37" t="s">
        <v>204</v>
      </c>
      <c r="B37" t="s">
        <v>847</v>
      </c>
      <c r="C37" t="s">
        <v>5</v>
      </c>
      <c r="D37" t="s">
        <v>848</v>
      </c>
      <c r="E37" s="3">
        <v>137.78</v>
      </c>
      <c r="F37" s="3">
        <f>+E37*stddisc</f>
        <v>137.78</v>
      </c>
    </row>
    <row r="38" spans="1:7" x14ac:dyDescent="0.25">
      <c r="B38" t="s">
        <v>195</v>
      </c>
      <c r="C38" t="s">
        <v>5</v>
      </c>
      <c r="D38" t="s">
        <v>205</v>
      </c>
      <c r="E38" s="3">
        <v>206.7</v>
      </c>
      <c r="F38" s="3">
        <f>+E38*stddisc</f>
        <v>206.7</v>
      </c>
      <c r="G38" s="3"/>
    </row>
    <row r="39" spans="1:7" x14ac:dyDescent="0.25">
      <c r="B39" t="s">
        <v>206</v>
      </c>
      <c r="C39" t="s">
        <v>5</v>
      </c>
      <c r="D39" t="s">
        <v>207</v>
      </c>
      <c r="E39" s="3">
        <v>275.56</v>
      </c>
      <c r="F39" s="3">
        <f>+E39*stddisc</f>
        <v>275.56</v>
      </c>
      <c r="G39" s="3"/>
    </row>
    <row r="40" spans="1:7" x14ac:dyDescent="0.25">
      <c r="B40" t="s">
        <v>9</v>
      </c>
      <c r="C40" t="s">
        <v>10</v>
      </c>
      <c r="D40" t="s">
        <v>208</v>
      </c>
      <c r="E40" s="3">
        <v>39.909999999999997</v>
      </c>
      <c r="F40" s="3">
        <f>+E40*stddisc</f>
        <v>39.909999999999997</v>
      </c>
      <c r="G40" s="3"/>
    </row>
    <row r="41" spans="1:7" x14ac:dyDescent="0.25">
      <c r="A41" t="s">
        <v>209</v>
      </c>
      <c r="D41" t="s">
        <v>210</v>
      </c>
      <c r="F41" s="3"/>
    </row>
    <row r="42" spans="1:7" x14ac:dyDescent="0.25">
      <c r="B42" t="s">
        <v>211</v>
      </c>
      <c r="C42" t="s">
        <v>1</v>
      </c>
      <c r="D42" t="s">
        <v>2</v>
      </c>
      <c r="E42" t="s">
        <v>3</v>
      </c>
      <c r="F42" t="s">
        <v>3</v>
      </c>
    </row>
    <row r="43" spans="1:7" x14ac:dyDescent="0.25">
      <c r="A43" t="s">
        <v>212</v>
      </c>
      <c r="B43" t="s">
        <v>213</v>
      </c>
      <c r="C43" t="s">
        <v>5</v>
      </c>
      <c r="D43" t="s">
        <v>214</v>
      </c>
      <c r="E43" s="3">
        <v>25.75</v>
      </c>
      <c r="F43" s="3">
        <f>+E43*stddisc</f>
        <v>25.75</v>
      </c>
      <c r="G43" s="3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7"/>
  </sheetPr>
  <dimension ref="A1:L27"/>
  <sheetViews>
    <sheetView zoomScaleNormal="100" workbookViewId="0">
      <selection activeCell="E29" sqref="E29"/>
    </sheetView>
  </sheetViews>
  <sheetFormatPr defaultRowHeight="15" x14ac:dyDescent="0.25"/>
  <cols>
    <col min="1" max="1" width="29.85546875" bestFit="1" customWidth="1"/>
    <col min="2" max="2" width="4.5703125" bestFit="1" customWidth="1"/>
    <col min="3" max="3" width="5" bestFit="1" customWidth="1"/>
    <col min="4" max="4" width="11.5703125" bestFit="1" customWidth="1"/>
    <col min="5" max="5" width="9.42578125" customWidth="1"/>
    <col min="6" max="6" width="11.7109375" bestFit="1" customWidth="1"/>
    <col min="7" max="7" width="4.28515625" customWidth="1"/>
    <col min="8" max="8" width="4.42578125" customWidth="1"/>
    <col min="9" max="9" width="11.42578125" bestFit="1" customWidth="1"/>
    <col min="10" max="10" width="9.42578125" customWidth="1"/>
    <col min="11" max="11" width="11.7109375" bestFit="1" customWidth="1"/>
    <col min="12" max="12" width="3.140625" style="3" customWidth="1"/>
  </cols>
  <sheetData>
    <row r="1" spans="1:11" x14ac:dyDescent="0.25">
      <c r="A1" t="s">
        <v>215</v>
      </c>
      <c r="D1" t="s">
        <v>19</v>
      </c>
      <c r="I1" t="s">
        <v>20</v>
      </c>
    </row>
    <row r="2" spans="1:11" x14ac:dyDescent="0.25">
      <c r="B2" t="s">
        <v>0</v>
      </c>
      <c r="C2" t="s">
        <v>1</v>
      </c>
      <c r="D2" t="s">
        <v>2</v>
      </c>
      <c r="E2" t="s">
        <v>3</v>
      </c>
      <c r="F2" t="s">
        <v>929</v>
      </c>
      <c r="I2" t="s">
        <v>2</v>
      </c>
      <c r="J2" t="s">
        <v>3</v>
      </c>
      <c r="K2" t="str">
        <f>F2</f>
        <v>Dealer Price</v>
      </c>
    </row>
    <row r="3" spans="1:11" x14ac:dyDescent="0.25">
      <c r="A3" t="s">
        <v>216</v>
      </c>
      <c r="B3" t="s">
        <v>4</v>
      </c>
      <c r="C3" t="s">
        <v>5</v>
      </c>
      <c r="D3" t="s">
        <v>169</v>
      </c>
      <c r="E3" s="3">
        <v>242.6</v>
      </c>
      <c r="F3" s="3">
        <f t="shared" ref="F3:F8" si="0">E3*stddisc</f>
        <v>242.6</v>
      </c>
      <c r="G3" s="3"/>
      <c r="I3" t="s">
        <v>172</v>
      </c>
      <c r="J3" s="3">
        <v>242.6</v>
      </c>
      <c r="K3" s="3">
        <f t="shared" ref="K3:K8" si="1">J3*stddisc</f>
        <v>242.6</v>
      </c>
    </row>
    <row r="4" spans="1:11" x14ac:dyDescent="0.25">
      <c r="B4" t="s">
        <v>7</v>
      </c>
      <c r="C4" t="s">
        <v>5</v>
      </c>
      <c r="D4" t="s">
        <v>170</v>
      </c>
      <c r="E4" s="3">
        <v>303.25</v>
      </c>
      <c r="F4" s="3">
        <f t="shared" si="0"/>
        <v>303.25</v>
      </c>
      <c r="G4" s="3"/>
      <c r="I4" t="s">
        <v>173</v>
      </c>
      <c r="J4" s="3">
        <v>303.25</v>
      </c>
      <c r="K4" s="3">
        <f t="shared" si="1"/>
        <v>303.25</v>
      </c>
    </row>
    <row r="5" spans="1:11" x14ac:dyDescent="0.25">
      <c r="B5" t="s">
        <v>9</v>
      </c>
      <c r="C5" t="s">
        <v>10</v>
      </c>
      <c r="D5" t="s">
        <v>171</v>
      </c>
      <c r="E5" s="3">
        <v>19.63</v>
      </c>
      <c r="F5" s="3">
        <f t="shared" si="0"/>
        <v>19.63</v>
      </c>
      <c r="G5" s="3"/>
      <c r="I5" t="s">
        <v>174</v>
      </c>
      <c r="J5" s="3">
        <v>19.63</v>
      </c>
      <c r="K5" s="3">
        <f t="shared" si="1"/>
        <v>19.63</v>
      </c>
    </row>
    <row r="6" spans="1:11" x14ac:dyDescent="0.25">
      <c r="A6" t="s">
        <v>217</v>
      </c>
      <c r="B6" t="s">
        <v>4</v>
      </c>
      <c r="C6" t="s">
        <v>5</v>
      </c>
      <c r="D6" t="s">
        <v>85</v>
      </c>
      <c r="E6" s="3">
        <v>210.68708668577503</v>
      </c>
      <c r="F6" s="3">
        <f t="shared" si="0"/>
        <v>210.68708668577503</v>
      </c>
      <c r="G6" s="3"/>
      <c r="I6" t="s">
        <v>88</v>
      </c>
      <c r="J6" s="3">
        <v>210.68708668577503</v>
      </c>
      <c r="K6" s="3">
        <f t="shared" si="1"/>
        <v>210.68708668577503</v>
      </c>
    </row>
    <row r="7" spans="1:11" x14ac:dyDescent="0.25">
      <c r="B7" t="s">
        <v>7</v>
      </c>
      <c r="C7" t="s">
        <v>5</v>
      </c>
      <c r="D7" t="s">
        <v>86</v>
      </c>
      <c r="E7" s="3">
        <v>263.35000000000002</v>
      </c>
      <c r="F7" s="3">
        <f t="shared" si="0"/>
        <v>263.35000000000002</v>
      </c>
      <c r="G7" s="3"/>
      <c r="I7" t="s">
        <v>89</v>
      </c>
      <c r="J7" s="3">
        <v>263.35000000000002</v>
      </c>
      <c r="K7" s="3">
        <f t="shared" si="1"/>
        <v>263.35000000000002</v>
      </c>
    </row>
    <row r="8" spans="1:11" x14ac:dyDescent="0.25">
      <c r="B8" t="s">
        <v>9</v>
      </c>
      <c r="C8" t="s">
        <v>10</v>
      </c>
      <c r="D8" t="s">
        <v>87</v>
      </c>
      <c r="E8" s="3">
        <v>18.175905411090003</v>
      </c>
      <c r="F8" s="3">
        <f t="shared" si="0"/>
        <v>18.175905411090003</v>
      </c>
      <c r="G8" s="3"/>
      <c r="I8" t="s">
        <v>90</v>
      </c>
      <c r="J8" s="3">
        <v>18.175905411090003</v>
      </c>
      <c r="K8" s="3">
        <f t="shared" si="1"/>
        <v>18.175905411090003</v>
      </c>
    </row>
    <row r="9" spans="1:11" x14ac:dyDescent="0.25">
      <c r="E9" s="3"/>
      <c r="J9" s="3"/>
    </row>
    <row r="10" spans="1:11" x14ac:dyDescent="0.25">
      <c r="D10" t="s">
        <v>41</v>
      </c>
      <c r="E10" s="3"/>
      <c r="I10" t="s">
        <v>52</v>
      </c>
      <c r="J10" s="3"/>
    </row>
    <row r="11" spans="1:11" x14ac:dyDescent="0.25">
      <c r="B11" t="s">
        <v>0</v>
      </c>
      <c r="C11" t="s">
        <v>1</v>
      </c>
      <c r="D11" t="s">
        <v>2</v>
      </c>
      <c r="E11" t="s">
        <v>3</v>
      </c>
      <c r="F11" t="str">
        <f>F2</f>
        <v>Dealer Price</v>
      </c>
      <c r="I11" t="s">
        <v>2</v>
      </c>
      <c r="J11" t="s">
        <v>3</v>
      </c>
      <c r="K11" t="str">
        <f>F2</f>
        <v>Dealer Price</v>
      </c>
    </row>
    <row r="12" spans="1:11" x14ac:dyDescent="0.25">
      <c r="A12" t="s">
        <v>216</v>
      </c>
      <c r="B12" t="s">
        <v>4</v>
      </c>
      <c r="C12" t="s">
        <v>5</v>
      </c>
      <c r="D12" t="s">
        <v>175</v>
      </c>
      <c r="E12" s="3">
        <v>249.86019326919003</v>
      </c>
      <c r="F12" s="3">
        <f t="shared" ref="F12:F17" si="2">E12*stddisc</f>
        <v>249.86019326919003</v>
      </c>
      <c r="G12" s="3"/>
      <c r="I12" t="s">
        <v>178</v>
      </c>
      <c r="J12" s="3">
        <v>242.6</v>
      </c>
      <c r="K12" s="3">
        <f t="shared" ref="K12:K17" si="3">J12*stddisc</f>
        <v>242.6</v>
      </c>
    </row>
    <row r="13" spans="1:11" x14ac:dyDescent="0.25">
      <c r="B13" t="s">
        <v>7</v>
      </c>
      <c r="C13" t="s">
        <v>5</v>
      </c>
      <c r="D13" t="s">
        <v>176</v>
      </c>
      <c r="E13" s="3">
        <v>312.33174226796501</v>
      </c>
      <c r="F13" s="3">
        <f t="shared" si="2"/>
        <v>312.33174226796501</v>
      </c>
      <c r="G13" s="3"/>
      <c r="I13" t="s">
        <v>179</v>
      </c>
      <c r="J13" s="3">
        <v>303.25</v>
      </c>
      <c r="K13" s="3">
        <f t="shared" si="3"/>
        <v>303.25</v>
      </c>
    </row>
    <row r="14" spans="1:11" x14ac:dyDescent="0.25">
      <c r="B14" t="s">
        <v>9</v>
      </c>
      <c r="C14" t="s">
        <v>10</v>
      </c>
      <c r="D14" t="s">
        <v>177</v>
      </c>
      <c r="E14" s="3">
        <v>20.217119395025001</v>
      </c>
      <c r="F14" s="3">
        <f t="shared" si="2"/>
        <v>20.217119395025001</v>
      </c>
      <c r="G14" s="3"/>
      <c r="I14" t="s">
        <v>180</v>
      </c>
      <c r="J14" s="3">
        <v>19.63</v>
      </c>
      <c r="K14" s="3">
        <f t="shared" si="3"/>
        <v>19.63</v>
      </c>
    </row>
    <row r="15" spans="1:11" x14ac:dyDescent="0.25">
      <c r="A15" t="s">
        <v>217</v>
      </c>
      <c r="B15" t="s">
        <v>4</v>
      </c>
      <c r="C15" t="s">
        <v>5</v>
      </c>
      <c r="D15" t="s">
        <v>92</v>
      </c>
      <c r="E15" s="3">
        <v>217.01875044485999</v>
      </c>
      <c r="F15" s="3">
        <f t="shared" si="2"/>
        <v>217.01875044485999</v>
      </c>
      <c r="G15" s="3"/>
      <c r="I15" t="s">
        <v>95</v>
      </c>
      <c r="J15" s="3">
        <v>210.68708668577503</v>
      </c>
      <c r="K15" s="3">
        <f t="shared" si="3"/>
        <v>210.68708668577503</v>
      </c>
    </row>
    <row r="16" spans="1:11" x14ac:dyDescent="0.25">
      <c r="B16" t="s">
        <v>7</v>
      </c>
      <c r="C16" t="s">
        <v>5</v>
      </c>
      <c r="D16" t="s">
        <v>93</v>
      </c>
      <c r="E16" s="3">
        <v>271.26043669312003</v>
      </c>
      <c r="F16" s="3">
        <f t="shared" si="2"/>
        <v>271.26043669312003</v>
      </c>
      <c r="G16" s="3"/>
      <c r="I16" t="s">
        <v>96</v>
      </c>
      <c r="J16" s="3">
        <v>263.35000000000002</v>
      </c>
      <c r="K16" s="3">
        <f t="shared" si="3"/>
        <v>263.35000000000002</v>
      </c>
    </row>
    <row r="17" spans="1:11" x14ac:dyDescent="0.25">
      <c r="B17" t="s">
        <v>9</v>
      </c>
      <c r="C17" t="s">
        <v>10</v>
      </c>
      <c r="D17" t="s">
        <v>94</v>
      </c>
      <c r="E17" s="3">
        <v>18.721962655199999</v>
      </c>
      <c r="F17" s="3">
        <f t="shared" si="2"/>
        <v>18.721962655199999</v>
      </c>
      <c r="G17" s="3"/>
      <c r="I17" t="s">
        <v>97</v>
      </c>
      <c r="J17" s="3">
        <v>18.175905411090003</v>
      </c>
      <c r="K17" s="3">
        <f t="shared" si="3"/>
        <v>18.175905411090003</v>
      </c>
    </row>
    <row r="18" spans="1:11" x14ac:dyDescent="0.25">
      <c r="E18" s="3"/>
      <c r="J18" s="3"/>
    </row>
    <row r="19" spans="1:11" x14ac:dyDescent="0.25">
      <c r="A19" t="s">
        <v>907</v>
      </c>
      <c r="D19" t="s">
        <v>218</v>
      </c>
      <c r="E19" s="3"/>
      <c r="I19" t="s">
        <v>222</v>
      </c>
      <c r="J19" s="3"/>
    </row>
    <row r="20" spans="1:11" x14ac:dyDescent="0.25">
      <c r="B20" t="s">
        <v>0</v>
      </c>
      <c r="C20" t="s">
        <v>1</v>
      </c>
      <c r="D20" t="s">
        <v>2</v>
      </c>
      <c r="E20" t="s">
        <v>3</v>
      </c>
      <c r="F20" t="str">
        <f>F11</f>
        <v>Dealer Price</v>
      </c>
      <c r="I20" t="s">
        <v>2</v>
      </c>
      <c r="J20" t="s">
        <v>3</v>
      </c>
      <c r="K20" t="str">
        <f>F2</f>
        <v>Dealer Price</v>
      </c>
    </row>
    <row r="21" spans="1:11" x14ac:dyDescent="0.25">
      <c r="A21" t="s">
        <v>219</v>
      </c>
      <c r="B21" t="s">
        <v>7</v>
      </c>
      <c r="C21" t="s">
        <v>5</v>
      </c>
      <c r="D21" t="s">
        <v>220</v>
      </c>
      <c r="E21" s="3">
        <v>158.12257625871001</v>
      </c>
      <c r="F21" s="3">
        <f>E21*stddisc</f>
        <v>158.12257625871001</v>
      </c>
      <c r="G21" s="3"/>
      <c r="I21" t="s">
        <v>223</v>
      </c>
      <c r="J21" s="3">
        <v>178.18367929827502</v>
      </c>
      <c r="K21" s="3">
        <f>J21*stddisc</f>
        <v>178.18367929827502</v>
      </c>
    </row>
    <row r="22" spans="1:11" x14ac:dyDescent="0.25">
      <c r="B22" t="s">
        <v>9</v>
      </c>
      <c r="C22" t="s">
        <v>10</v>
      </c>
      <c r="D22" t="s">
        <v>221</v>
      </c>
      <c r="E22" s="3">
        <v>10.37</v>
      </c>
      <c r="F22" s="3">
        <f>E22*stddisc</f>
        <v>10.37</v>
      </c>
      <c r="G22" s="3"/>
      <c r="I22" t="s">
        <v>224</v>
      </c>
      <c r="J22" s="3">
        <v>11.792236200185002</v>
      </c>
      <c r="K22" s="3">
        <f>J22*stddisc</f>
        <v>11.792236200185002</v>
      </c>
    </row>
    <row r="23" spans="1:11" x14ac:dyDescent="0.25">
      <c r="E23" s="3"/>
    </row>
    <row r="24" spans="1:11" x14ac:dyDescent="0.25">
      <c r="A24" t="s">
        <v>225</v>
      </c>
      <c r="D24" t="s">
        <v>226</v>
      </c>
      <c r="E24" s="3"/>
    </row>
    <row r="25" spans="1:11" x14ac:dyDescent="0.25">
      <c r="B25" t="s">
        <v>0</v>
      </c>
      <c r="C25" t="s">
        <v>1</v>
      </c>
      <c r="D25" t="s">
        <v>2</v>
      </c>
      <c r="E25" t="s">
        <v>3</v>
      </c>
      <c r="F25" t="str">
        <f>F20</f>
        <v>Dealer Price</v>
      </c>
    </row>
    <row r="26" spans="1:11" x14ac:dyDescent="0.25">
      <c r="A26" t="s">
        <v>227</v>
      </c>
      <c r="B26" t="s">
        <v>7</v>
      </c>
      <c r="C26" t="s">
        <v>5</v>
      </c>
      <c r="D26" t="s">
        <v>846</v>
      </c>
      <c r="E26" s="3">
        <v>150.93282254459501</v>
      </c>
      <c r="F26" s="3">
        <f>E26*stddisc</f>
        <v>150.93282254459501</v>
      </c>
      <c r="G26" s="3"/>
    </row>
    <row r="27" spans="1:11" x14ac:dyDescent="0.25">
      <c r="B27" t="s">
        <v>9</v>
      </c>
      <c r="C27" t="s">
        <v>10</v>
      </c>
      <c r="D27" t="s">
        <v>845</v>
      </c>
      <c r="E27" s="3">
        <v>10.37</v>
      </c>
      <c r="F27" s="3">
        <f>E27*stddisc</f>
        <v>10.37</v>
      </c>
      <c r="G27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7"/>
  </sheetPr>
  <dimension ref="A1:L35"/>
  <sheetViews>
    <sheetView zoomScaleNormal="100" workbookViewId="0">
      <selection activeCell="A36" sqref="A36"/>
    </sheetView>
  </sheetViews>
  <sheetFormatPr defaultRowHeight="15" x14ac:dyDescent="0.25"/>
  <cols>
    <col min="1" max="1" width="50.28515625" customWidth="1"/>
    <col min="2" max="2" width="7.140625" bestFit="1" customWidth="1"/>
    <col min="3" max="3" width="5" bestFit="1" customWidth="1"/>
    <col min="4" max="4" width="13.140625" bestFit="1" customWidth="1"/>
    <col min="5" max="5" width="8.85546875" customWidth="1"/>
    <col min="6" max="6" width="15.140625" bestFit="1" customWidth="1"/>
    <col min="7" max="7" width="3.42578125" customWidth="1"/>
    <col min="8" max="8" width="8.5703125" customWidth="1"/>
    <col min="9" max="9" width="12" bestFit="1" customWidth="1"/>
    <col min="10" max="10" width="8.85546875" customWidth="1"/>
    <col min="11" max="11" width="15.140625" customWidth="1"/>
    <col min="12" max="12" width="4.42578125" style="3" customWidth="1"/>
  </cols>
  <sheetData>
    <row r="1" spans="1:11" x14ac:dyDescent="0.25">
      <c r="A1" t="s">
        <v>228</v>
      </c>
      <c r="I1" t="s">
        <v>237</v>
      </c>
    </row>
    <row r="2" spans="1:11" x14ac:dyDescent="0.25">
      <c r="A2" t="s">
        <v>229</v>
      </c>
      <c r="B2" t="s">
        <v>230</v>
      </c>
      <c r="C2" t="s">
        <v>1</v>
      </c>
      <c r="D2" t="s">
        <v>2</v>
      </c>
      <c r="E2" t="s">
        <v>3</v>
      </c>
      <c r="F2" t="s">
        <v>929</v>
      </c>
      <c r="I2" t="s">
        <v>2</v>
      </c>
      <c r="J2" t="s">
        <v>3</v>
      </c>
      <c r="K2" t="str">
        <f>F2</f>
        <v>Dealer Price</v>
      </c>
    </row>
    <row r="3" spans="1:11" x14ac:dyDescent="0.25">
      <c r="A3" t="s">
        <v>231</v>
      </c>
      <c r="B3" t="s">
        <v>860</v>
      </c>
      <c r="C3" t="s">
        <v>5</v>
      </c>
      <c r="D3" t="s">
        <v>233</v>
      </c>
      <c r="E3" s="3">
        <v>54.020663078025002</v>
      </c>
      <c r="F3" s="3">
        <f>E3*stddisc</f>
        <v>54.020663078025002</v>
      </c>
      <c r="G3" s="3"/>
      <c r="I3" t="s">
        <v>238</v>
      </c>
      <c r="J3" s="3" t="s">
        <v>238</v>
      </c>
      <c r="K3" s="3" t="s">
        <v>238</v>
      </c>
    </row>
    <row r="4" spans="1:11" x14ac:dyDescent="0.25">
      <c r="A4" t="s">
        <v>234</v>
      </c>
      <c r="B4" t="s">
        <v>230</v>
      </c>
      <c r="C4" t="s">
        <v>1</v>
      </c>
      <c r="D4" t="s">
        <v>2</v>
      </c>
      <c r="E4" t="s">
        <v>3</v>
      </c>
      <c r="F4" t="s">
        <v>929</v>
      </c>
      <c r="I4" t="s">
        <v>2</v>
      </c>
      <c r="J4" t="s">
        <v>3</v>
      </c>
    </row>
    <row r="5" spans="1:11" x14ac:dyDescent="0.25">
      <c r="A5" t="s">
        <v>231</v>
      </c>
      <c r="B5" t="s">
        <v>859</v>
      </c>
      <c r="C5" t="s">
        <v>5</v>
      </c>
      <c r="D5" t="s">
        <v>236</v>
      </c>
      <c r="E5" s="3">
        <v>60.404332288930007</v>
      </c>
      <c r="F5" s="3">
        <f>E5*stddisc</f>
        <v>60.404332288930007</v>
      </c>
      <c r="G5" s="3"/>
      <c r="I5" t="s">
        <v>239</v>
      </c>
      <c r="J5" s="3">
        <v>110.97963418388001</v>
      </c>
      <c r="K5" s="3">
        <f>J5*stddisc</f>
        <v>110.97963418388001</v>
      </c>
    </row>
    <row r="6" spans="1:11" x14ac:dyDescent="0.25">
      <c r="E6" s="3"/>
      <c r="J6" s="3"/>
    </row>
    <row r="7" spans="1:11" x14ac:dyDescent="0.25">
      <c r="A7" t="s">
        <v>240</v>
      </c>
      <c r="E7" s="3"/>
      <c r="I7" t="s">
        <v>237</v>
      </c>
      <c r="J7" s="3"/>
    </row>
    <row r="8" spans="1:11" x14ac:dyDescent="0.25">
      <c r="A8" t="s">
        <v>867</v>
      </c>
      <c r="B8" t="s">
        <v>230</v>
      </c>
      <c r="C8" t="s">
        <v>1</v>
      </c>
      <c r="D8" t="s">
        <v>2</v>
      </c>
      <c r="E8" t="s">
        <v>3</v>
      </c>
      <c r="F8" t="str">
        <f>F2</f>
        <v>Dealer Price</v>
      </c>
      <c r="I8" t="s">
        <v>2</v>
      </c>
      <c r="J8" t="s">
        <v>3</v>
      </c>
      <c r="K8" t="str">
        <f>F2</f>
        <v>Dealer Price</v>
      </c>
    </row>
    <row r="9" spans="1:11" x14ac:dyDescent="0.25">
      <c r="A9" t="s">
        <v>241</v>
      </c>
      <c r="B9" t="s">
        <v>860</v>
      </c>
      <c r="C9" t="s">
        <v>5</v>
      </c>
      <c r="D9" t="s">
        <v>242</v>
      </c>
      <c r="E9" s="3">
        <v>63.394645768580006</v>
      </c>
      <c r="F9" s="3">
        <f>E9*stddisc</f>
        <v>63.394645768580006</v>
      </c>
      <c r="G9" s="3"/>
      <c r="I9" t="s">
        <v>238</v>
      </c>
      <c r="J9" s="3" t="s">
        <v>238</v>
      </c>
      <c r="K9" s="3" t="s">
        <v>238</v>
      </c>
    </row>
    <row r="10" spans="1:11" x14ac:dyDescent="0.25">
      <c r="A10" t="s">
        <v>243</v>
      </c>
      <c r="B10" t="s">
        <v>860</v>
      </c>
      <c r="C10" t="s">
        <v>5</v>
      </c>
      <c r="D10" t="s">
        <v>244</v>
      </c>
      <c r="E10" s="3">
        <v>70.89</v>
      </c>
      <c r="F10" s="3">
        <f>E10*stddisc</f>
        <v>70.89</v>
      </c>
      <c r="G10" s="3"/>
      <c r="I10" t="s">
        <v>238</v>
      </c>
      <c r="J10" s="3" t="s">
        <v>238</v>
      </c>
      <c r="K10" s="3" t="s">
        <v>238</v>
      </c>
    </row>
    <row r="11" spans="1:11" x14ac:dyDescent="0.25">
      <c r="A11" t="s">
        <v>245</v>
      </c>
      <c r="B11" t="s">
        <v>232</v>
      </c>
      <c r="C11" t="s">
        <v>5</v>
      </c>
      <c r="D11" t="s">
        <v>247</v>
      </c>
      <c r="E11" s="3">
        <v>70.89</v>
      </c>
      <c r="F11" s="3">
        <f>E11*stddisc</f>
        <v>70.89</v>
      </c>
      <c r="G11" s="3"/>
      <c r="I11" t="s">
        <v>238</v>
      </c>
      <c r="J11" s="3" t="s">
        <v>238</v>
      </c>
      <c r="K11" s="3" t="s">
        <v>238</v>
      </c>
    </row>
    <row r="12" spans="1:11" x14ac:dyDescent="0.25">
      <c r="A12" t="s">
        <v>248</v>
      </c>
      <c r="B12" t="s">
        <v>232</v>
      </c>
      <c r="C12" t="s">
        <v>5</v>
      </c>
      <c r="D12" t="s">
        <v>249</v>
      </c>
      <c r="E12" s="3">
        <v>74.757836991250002</v>
      </c>
      <c r="F12" s="3">
        <f>E12*stddisc</f>
        <v>74.757836991250002</v>
      </c>
      <c r="G12" s="3"/>
      <c r="I12" t="s">
        <v>238</v>
      </c>
      <c r="J12" s="3" t="s">
        <v>238</v>
      </c>
      <c r="K12" s="3" t="s">
        <v>238</v>
      </c>
    </row>
    <row r="13" spans="1:11" x14ac:dyDescent="0.25">
      <c r="A13" t="s">
        <v>250</v>
      </c>
      <c r="B13" t="s">
        <v>232</v>
      </c>
      <c r="C13" t="s">
        <v>5</v>
      </c>
      <c r="D13" t="s">
        <v>251</v>
      </c>
      <c r="E13" s="3">
        <v>82.350632956970017</v>
      </c>
      <c r="F13" s="3">
        <f>E13*stddisc</f>
        <v>82.350632956970017</v>
      </c>
      <c r="G13" s="3"/>
      <c r="I13" t="s">
        <v>238</v>
      </c>
      <c r="J13" s="3" t="s">
        <v>238</v>
      </c>
      <c r="K13" s="3" t="s">
        <v>238</v>
      </c>
    </row>
    <row r="14" spans="1:11" x14ac:dyDescent="0.25">
      <c r="E14" s="3"/>
      <c r="J14" s="3"/>
    </row>
    <row r="15" spans="1:11" x14ac:dyDescent="0.25">
      <c r="A15" t="s">
        <v>868</v>
      </c>
      <c r="B15" t="s">
        <v>230</v>
      </c>
      <c r="C15" t="s">
        <v>1</v>
      </c>
      <c r="D15" t="s">
        <v>2</v>
      </c>
      <c r="E15" t="s">
        <v>3</v>
      </c>
      <c r="F15" t="str">
        <f>F2</f>
        <v>Dealer Price</v>
      </c>
      <c r="I15" t="s">
        <v>2</v>
      </c>
      <c r="J15" t="s">
        <v>3</v>
      </c>
      <c r="K15" t="str">
        <f>F2</f>
        <v>Dealer Price</v>
      </c>
    </row>
    <row r="16" spans="1:11" x14ac:dyDescent="0.25">
      <c r="A16" t="s">
        <v>241</v>
      </c>
      <c r="B16" t="s">
        <v>859</v>
      </c>
      <c r="C16" t="s">
        <v>5</v>
      </c>
      <c r="D16" t="s">
        <v>253</v>
      </c>
      <c r="E16" s="3">
        <v>69.349270001969998</v>
      </c>
      <c r="F16" s="3">
        <f>E16*stddisc</f>
        <v>69.349270001969998</v>
      </c>
      <c r="G16" s="3"/>
      <c r="I16" t="s">
        <v>259</v>
      </c>
      <c r="J16" s="3">
        <v>120.49</v>
      </c>
      <c r="K16" s="3">
        <f>J16*stddisc</f>
        <v>120.49</v>
      </c>
    </row>
    <row r="17" spans="1:11" x14ac:dyDescent="0.25">
      <c r="A17" t="s">
        <v>243</v>
      </c>
      <c r="B17" t="s">
        <v>859</v>
      </c>
      <c r="C17" t="s">
        <v>5</v>
      </c>
      <c r="D17" t="s">
        <v>254</v>
      </c>
      <c r="E17" s="3">
        <v>77.332106856340005</v>
      </c>
      <c r="F17" s="3">
        <f>E17*stddisc</f>
        <v>77.332106856340005</v>
      </c>
      <c r="G17" s="3"/>
      <c r="I17" t="s">
        <v>260</v>
      </c>
      <c r="J17" s="3">
        <v>129.97999999999999</v>
      </c>
      <c r="K17" s="3">
        <f>J17*stddisc</f>
        <v>129.97999999999999</v>
      </c>
    </row>
    <row r="18" spans="1:11" x14ac:dyDescent="0.25">
      <c r="A18" t="s">
        <v>245</v>
      </c>
      <c r="B18" t="s">
        <v>235</v>
      </c>
      <c r="C18" t="s">
        <v>5</v>
      </c>
      <c r="D18" t="s">
        <v>256</v>
      </c>
      <c r="E18" s="3">
        <v>77.332106856340005</v>
      </c>
      <c r="F18" s="3">
        <f>E18*stddisc</f>
        <v>77.332106856340005</v>
      </c>
      <c r="G18" s="3"/>
      <c r="I18" t="s">
        <v>261</v>
      </c>
      <c r="J18" s="3">
        <v>129.97999999999999</v>
      </c>
      <c r="K18" s="3">
        <f>J18*stddisc</f>
        <v>129.97999999999999</v>
      </c>
    </row>
    <row r="19" spans="1:11" x14ac:dyDescent="0.25">
      <c r="A19" t="s">
        <v>248</v>
      </c>
      <c r="B19" t="s">
        <v>235</v>
      </c>
      <c r="C19" t="s">
        <v>5</v>
      </c>
      <c r="D19" t="s">
        <v>257</v>
      </c>
      <c r="E19" s="3">
        <v>81.193511653975008</v>
      </c>
      <c r="F19" s="3">
        <f>E19*stddisc</f>
        <v>81.193511653975008</v>
      </c>
      <c r="G19" s="3"/>
      <c r="I19" t="s">
        <v>262</v>
      </c>
      <c r="J19" s="3">
        <v>133.52399754785</v>
      </c>
      <c r="K19" s="3">
        <f>J19*stddisc</f>
        <v>133.52399754785</v>
      </c>
    </row>
    <row r="20" spans="1:11" x14ac:dyDescent="0.25">
      <c r="A20" t="s">
        <v>250</v>
      </c>
      <c r="B20" t="s">
        <v>235</v>
      </c>
      <c r="C20" t="s">
        <v>5</v>
      </c>
      <c r="D20" t="s">
        <v>258</v>
      </c>
      <c r="E20" s="3">
        <v>88.786307619695009</v>
      </c>
      <c r="F20" s="3">
        <f>E20*stddisc</f>
        <v>88.786307619695009</v>
      </c>
      <c r="G20" s="3"/>
      <c r="I20" t="s">
        <v>263</v>
      </c>
      <c r="J20" s="3">
        <v>141.68885348359001</v>
      </c>
      <c r="K20" s="3">
        <f>J20*stddisc</f>
        <v>141.68885348359001</v>
      </c>
    </row>
    <row r="21" spans="1:11" x14ac:dyDescent="0.25">
      <c r="E21" s="3"/>
      <c r="J21" s="3"/>
    </row>
    <row r="22" spans="1:11" x14ac:dyDescent="0.25">
      <c r="A22" t="s">
        <v>264</v>
      </c>
      <c r="E22" s="3"/>
      <c r="I22" t="s">
        <v>237</v>
      </c>
      <c r="J22" s="3"/>
    </row>
    <row r="23" spans="1:11" x14ac:dyDescent="0.25">
      <c r="B23" t="s">
        <v>190</v>
      </c>
      <c r="C23" t="s">
        <v>1</v>
      </c>
      <c r="D23" t="s">
        <v>2</v>
      </c>
      <c r="E23" t="s">
        <v>3</v>
      </c>
      <c r="F23" t="str">
        <f>F2</f>
        <v>Dealer Price</v>
      </c>
      <c r="I23" t="s">
        <v>2</v>
      </c>
      <c r="J23" t="s">
        <v>3</v>
      </c>
      <c r="K23" t="str">
        <f>F2</f>
        <v>Dealer Price</v>
      </c>
    </row>
    <row r="24" spans="1:11" x14ac:dyDescent="0.25">
      <c r="A24" t="s">
        <v>265</v>
      </c>
      <c r="B24" t="s">
        <v>266</v>
      </c>
      <c r="C24" t="s">
        <v>5</v>
      </c>
      <c r="D24" t="s">
        <v>267</v>
      </c>
      <c r="E24" s="3">
        <v>256.12685021350006</v>
      </c>
      <c r="F24" s="3">
        <f>E24*stddisc</f>
        <v>256.12685021350006</v>
      </c>
      <c r="G24" s="3"/>
      <c r="I24" t="s">
        <v>270</v>
      </c>
      <c r="J24" s="3">
        <v>494.02</v>
      </c>
      <c r="K24" s="3">
        <f>J24*stddisc</f>
        <v>494.02</v>
      </c>
    </row>
    <row r="25" spans="1:11" x14ac:dyDescent="0.25">
      <c r="A25" t="s">
        <v>268</v>
      </c>
      <c r="B25" t="s">
        <v>9</v>
      </c>
      <c r="C25" t="s">
        <v>10</v>
      </c>
      <c r="D25" t="s">
        <v>269</v>
      </c>
      <c r="E25" s="3">
        <v>16.559999999999999</v>
      </c>
      <c r="F25" s="3">
        <f>E25*stddisc</f>
        <v>16.559999999999999</v>
      </c>
      <c r="G25" s="3"/>
      <c r="I25" t="s">
        <v>271</v>
      </c>
      <c r="J25" s="3">
        <v>29.34</v>
      </c>
      <c r="K25" s="3">
        <f>J25*stddisc</f>
        <v>29.34</v>
      </c>
    </row>
    <row r="26" spans="1:11" x14ac:dyDescent="0.25">
      <c r="A26" s="1" t="s">
        <v>945</v>
      </c>
      <c r="B26" t="s">
        <v>943</v>
      </c>
      <c r="C26" t="s">
        <v>5</v>
      </c>
      <c r="D26" t="s">
        <v>942</v>
      </c>
      <c r="E26" s="3">
        <v>256.43062037599998</v>
      </c>
      <c r="F26" s="3">
        <f>E26*stddisc</f>
        <v>256.43062037599998</v>
      </c>
      <c r="G26" s="3"/>
      <c r="J26" s="3"/>
      <c r="K26" s="3"/>
    </row>
    <row r="27" spans="1:11" x14ac:dyDescent="0.25">
      <c r="A27" s="1" t="s">
        <v>946</v>
      </c>
      <c r="B27" t="s">
        <v>9</v>
      </c>
      <c r="C27" t="s">
        <v>10</v>
      </c>
      <c r="D27" t="s">
        <v>944</v>
      </c>
      <c r="E27" s="3">
        <v>16.828867002500001</v>
      </c>
      <c r="F27" s="3">
        <f>E27*stddisc</f>
        <v>16.828867002500001</v>
      </c>
      <c r="G27" s="3"/>
      <c r="J27" s="3"/>
      <c r="K27" s="3"/>
    </row>
    <row r="28" spans="1:11" x14ac:dyDescent="0.25">
      <c r="E28" s="3"/>
      <c r="F28" s="3"/>
    </row>
    <row r="29" spans="1:11" x14ac:dyDescent="0.25">
      <c r="A29" t="s">
        <v>272</v>
      </c>
      <c r="E29" s="3"/>
    </row>
    <row r="30" spans="1:11" x14ac:dyDescent="0.25">
      <c r="B30" t="s">
        <v>211</v>
      </c>
      <c r="C30" t="s">
        <v>1</v>
      </c>
      <c r="D30" t="s">
        <v>2</v>
      </c>
      <c r="E30" t="s">
        <v>3</v>
      </c>
      <c r="F30" t="str">
        <f>F2</f>
        <v>Dealer Price</v>
      </c>
    </row>
    <row r="31" spans="1:11" x14ac:dyDescent="0.25">
      <c r="A31" t="s">
        <v>880</v>
      </c>
      <c r="B31" t="s">
        <v>213</v>
      </c>
      <c r="C31" t="s">
        <v>5</v>
      </c>
      <c r="D31" t="s">
        <v>881</v>
      </c>
      <c r="E31" s="3">
        <v>23.402453319000003</v>
      </c>
      <c r="F31" s="3">
        <f>E31*stddisc</f>
        <v>23.402453319000003</v>
      </c>
      <c r="G31" s="3"/>
    </row>
    <row r="32" spans="1:11" x14ac:dyDescent="0.25">
      <c r="A32" t="s">
        <v>913</v>
      </c>
      <c r="B32" t="s">
        <v>273</v>
      </c>
      <c r="C32" t="s">
        <v>5</v>
      </c>
      <c r="D32" t="s">
        <v>274</v>
      </c>
      <c r="E32" s="3">
        <v>14.31</v>
      </c>
      <c r="F32" s="3">
        <f>E32*stddisc</f>
        <v>14.31</v>
      </c>
      <c r="G32" s="3"/>
    </row>
    <row r="33" spans="1:7" x14ac:dyDescent="0.25">
      <c r="A33" t="s">
        <v>276</v>
      </c>
      <c r="B33" t="s">
        <v>277</v>
      </c>
      <c r="C33" t="s">
        <v>5</v>
      </c>
      <c r="D33" t="s">
        <v>278</v>
      </c>
      <c r="E33" s="3">
        <v>6.9557291809250001</v>
      </c>
      <c r="F33" s="3">
        <f>E33*stddisc</f>
        <v>6.9557291809250001</v>
      </c>
      <c r="G33" s="3"/>
    </row>
    <row r="34" spans="1:7" x14ac:dyDescent="0.25">
      <c r="A34" t="s">
        <v>279</v>
      </c>
      <c r="B34" t="s">
        <v>280</v>
      </c>
      <c r="C34" t="s">
        <v>5</v>
      </c>
      <c r="D34" t="s">
        <v>281</v>
      </c>
      <c r="E34" s="3">
        <v>3.7443925310399999</v>
      </c>
      <c r="F34" s="3">
        <f>E34*stddisc</f>
        <v>3.7443925310399999</v>
      </c>
      <c r="G34" s="3"/>
    </row>
    <row r="35" spans="1:7" x14ac:dyDescent="0.25">
      <c r="A35" t="s">
        <v>282</v>
      </c>
      <c r="B35" t="s">
        <v>283</v>
      </c>
      <c r="C35" t="s">
        <v>5</v>
      </c>
      <c r="D35" t="s">
        <v>916</v>
      </c>
      <c r="E35" s="3">
        <v>15.978675071694999</v>
      </c>
      <c r="F35" s="3">
        <f>E35*stddisc</f>
        <v>15.978675071694999</v>
      </c>
      <c r="G35" s="3"/>
    </row>
  </sheetData>
  <pageMargins left="0.7" right="0.7" top="0.75" bottom="0.75" header="0.3" footer="0.3"/>
  <pageSetup orientation="portrait" horizontalDpi="4294967294" verticalDpi="4294967294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7"/>
  </sheetPr>
  <dimension ref="A2:G29"/>
  <sheetViews>
    <sheetView zoomScale="115" zoomScaleNormal="115" workbookViewId="0">
      <selection activeCell="F20" sqref="F20"/>
    </sheetView>
  </sheetViews>
  <sheetFormatPr defaultRowHeight="15" x14ac:dyDescent="0.25"/>
  <cols>
    <col min="1" max="1" width="49" bestFit="1" customWidth="1"/>
    <col min="2" max="2" width="7.140625" bestFit="1" customWidth="1"/>
    <col min="3" max="3" width="5" bestFit="1" customWidth="1"/>
    <col min="4" max="4" width="13.5703125" bestFit="1" customWidth="1"/>
    <col min="5" max="5" width="9.5703125" customWidth="1"/>
    <col min="6" max="6" width="11.7109375" bestFit="1" customWidth="1"/>
    <col min="7" max="7" width="5.140625" style="3" customWidth="1"/>
    <col min="8" max="8" width="26" bestFit="1" customWidth="1"/>
  </cols>
  <sheetData>
    <row r="2" spans="1:6" x14ac:dyDescent="0.25">
      <c r="A2" t="s">
        <v>284</v>
      </c>
    </row>
    <row r="3" spans="1:6" x14ac:dyDescent="0.25">
      <c r="A3" t="s">
        <v>285</v>
      </c>
      <c r="B3" t="s">
        <v>230</v>
      </c>
      <c r="C3" t="s">
        <v>1</v>
      </c>
      <c r="D3" t="s">
        <v>2</v>
      </c>
      <c r="E3" t="s">
        <v>3</v>
      </c>
      <c r="F3" t="s">
        <v>929</v>
      </c>
    </row>
    <row r="4" spans="1:6" x14ac:dyDescent="0.25">
      <c r="A4" t="s">
        <v>869</v>
      </c>
      <c r="B4" t="s">
        <v>286</v>
      </c>
      <c r="C4" t="s">
        <v>5</v>
      </c>
      <c r="D4" t="s">
        <v>287</v>
      </c>
      <c r="E4" s="3">
        <v>71.240178509500012</v>
      </c>
      <c r="F4" s="3">
        <f>E4*stddisc</f>
        <v>71.240178509500012</v>
      </c>
    </row>
    <row r="5" spans="1:6" x14ac:dyDescent="0.25">
      <c r="A5" t="s">
        <v>870</v>
      </c>
      <c r="B5" t="s">
        <v>288</v>
      </c>
      <c r="C5" t="s">
        <v>5</v>
      </c>
      <c r="D5" t="s">
        <v>289</v>
      </c>
      <c r="E5" s="3">
        <v>77.485693050500004</v>
      </c>
      <c r="F5" s="3">
        <f>E5*stddisc</f>
        <v>77.485693050500004</v>
      </c>
    </row>
    <row r="6" spans="1:6" x14ac:dyDescent="0.25">
      <c r="E6" s="3"/>
      <c r="F6" s="3"/>
    </row>
    <row r="7" spans="1:6" x14ac:dyDescent="0.25">
      <c r="A7" t="s">
        <v>290</v>
      </c>
      <c r="E7" s="3"/>
      <c r="F7" s="3"/>
    </row>
    <row r="8" spans="1:6" x14ac:dyDescent="0.25">
      <c r="B8" t="s">
        <v>0</v>
      </c>
      <c r="C8" t="s">
        <v>1</v>
      </c>
      <c r="D8" t="s">
        <v>2</v>
      </c>
      <c r="E8" t="s">
        <v>3</v>
      </c>
      <c r="F8" s="3" t="str">
        <f>F3</f>
        <v>Dealer Price</v>
      </c>
    </row>
    <row r="9" spans="1:6" x14ac:dyDescent="0.25">
      <c r="A9" t="s">
        <v>291</v>
      </c>
      <c r="B9" t="s">
        <v>266</v>
      </c>
      <c r="C9" t="s">
        <v>5</v>
      </c>
      <c r="D9" t="s">
        <v>292</v>
      </c>
      <c r="E9" s="3">
        <v>326.56823470369005</v>
      </c>
      <c r="F9" s="3">
        <f>E9*stddisc</f>
        <v>326.56823470369005</v>
      </c>
    </row>
    <row r="10" spans="1:6" x14ac:dyDescent="0.25">
      <c r="A10" t="s">
        <v>293</v>
      </c>
      <c r="B10" t="s">
        <v>9</v>
      </c>
      <c r="C10" t="s">
        <v>10</v>
      </c>
      <c r="D10" t="s">
        <v>294</v>
      </c>
      <c r="E10" s="3">
        <v>20.51</v>
      </c>
      <c r="F10" s="3">
        <f>E10*stddisc</f>
        <v>20.51</v>
      </c>
    </row>
    <row r="11" spans="1:6" x14ac:dyDescent="0.25">
      <c r="E11" s="3"/>
      <c r="F11" s="3"/>
    </row>
    <row r="12" spans="1:6" x14ac:dyDescent="0.25">
      <c r="A12" t="s">
        <v>295</v>
      </c>
      <c r="D12" t="s">
        <v>296</v>
      </c>
      <c r="E12" s="3"/>
      <c r="F12" s="3"/>
    </row>
    <row r="13" spans="1:6" x14ac:dyDescent="0.25">
      <c r="B13" t="s">
        <v>211</v>
      </c>
      <c r="C13" t="s">
        <v>1</v>
      </c>
      <c r="D13" t="s">
        <v>2</v>
      </c>
      <c r="E13" t="s">
        <v>3</v>
      </c>
      <c r="F13" s="3" t="str">
        <f>F8</f>
        <v>Dealer Price</v>
      </c>
    </row>
    <row r="14" spans="1:6" x14ac:dyDescent="0.25">
      <c r="A14" t="s">
        <v>882</v>
      </c>
      <c r="B14" t="s">
        <v>213</v>
      </c>
      <c r="C14" t="s">
        <v>5</v>
      </c>
      <c r="D14" t="s">
        <v>908</v>
      </c>
      <c r="E14" s="3">
        <v>17.642971037999999</v>
      </c>
      <c r="F14" s="3">
        <f>E14*stddisc</f>
        <v>17.642971037999999</v>
      </c>
    </row>
    <row r="15" spans="1:6" x14ac:dyDescent="0.25">
      <c r="A15" t="s">
        <v>297</v>
      </c>
      <c r="B15" t="s">
        <v>273</v>
      </c>
      <c r="C15" t="s">
        <v>5</v>
      </c>
      <c r="D15" t="s">
        <v>917</v>
      </c>
      <c r="E15" s="3">
        <v>14.678538776194999</v>
      </c>
      <c r="F15" s="3">
        <f>E15*stddisc</f>
        <v>14.678538776194999</v>
      </c>
    </row>
    <row r="16" spans="1:6" x14ac:dyDescent="0.25">
      <c r="A16" t="s">
        <v>932</v>
      </c>
      <c r="B16" t="s">
        <v>275</v>
      </c>
      <c r="C16" t="s">
        <v>5</v>
      </c>
      <c r="D16" t="s">
        <v>931</v>
      </c>
      <c r="E16" s="3">
        <v>14.678538776194999</v>
      </c>
      <c r="F16" s="3">
        <f>E16*stddisc</f>
        <v>14.678538776194999</v>
      </c>
    </row>
    <row r="17" spans="1:6" x14ac:dyDescent="0.25">
      <c r="A17" t="s">
        <v>298</v>
      </c>
      <c r="B17" t="s">
        <v>277</v>
      </c>
      <c r="C17" t="s">
        <v>5</v>
      </c>
      <c r="D17" t="s">
        <v>962</v>
      </c>
      <c r="E17" s="3">
        <v>50.848330517005003</v>
      </c>
      <c r="F17" s="3">
        <f>E17*stddisc</f>
        <v>50.848330517005003</v>
      </c>
    </row>
    <row r="18" spans="1:6" x14ac:dyDescent="0.25">
      <c r="A18" t="s">
        <v>933</v>
      </c>
      <c r="B18" t="s">
        <v>280</v>
      </c>
      <c r="C18" t="s">
        <v>5</v>
      </c>
      <c r="D18" t="s">
        <v>892</v>
      </c>
      <c r="E18" s="3">
        <v>23.402453319000003</v>
      </c>
      <c r="F18" s="3">
        <f>E18*stddisc</f>
        <v>23.402453319000003</v>
      </c>
    </row>
    <row r="19" spans="1:6" x14ac:dyDescent="0.25">
      <c r="E19" s="3"/>
      <c r="F19" s="3"/>
    </row>
    <row r="20" spans="1:6" x14ac:dyDescent="0.25">
      <c r="E20" s="3"/>
      <c r="F20" s="3"/>
    </row>
    <row r="21" spans="1:6" x14ac:dyDescent="0.25">
      <c r="A21" t="s">
        <v>883</v>
      </c>
      <c r="E21" s="3"/>
      <c r="F21" s="3"/>
    </row>
    <row r="22" spans="1:6" x14ac:dyDescent="0.25">
      <c r="A22" t="s">
        <v>285</v>
      </c>
      <c r="B22" t="s">
        <v>230</v>
      </c>
      <c r="C22" t="s">
        <v>1</v>
      </c>
      <c r="D22" t="s">
        <v>2</v>
      </c>
      <c r="E22" t="s">
        <v>3</v>
      </c>
      <c r="F22" s="3" t="str">
        <f>F13</f>
        <v>Dealer Price</v>
      </c>
    </row>
    <row r="23" spans="1:6" x14ac:dyDescent="0.25">
      <c r="A23" t="s">
        <v>884</v>
      </c>
      <c r="B23" t="s">
        <v>885</v>
      </c>
      <c r="C23" t="s">
        <v>5</v>
      </c>
      <c r="D23" t="s">
        <v>887</v>
      </c>
      <c r="E23" s="3">
        <v>151.35044576400003</v>
      </c>
      <c r="F23" s="3">
        <f>E23*stddisc</f>
        <v>151.35044576400003</v>
      </c>
    </row>
    <row r="24" spans="1:6" x14ac:dyDescent="0.25">
      <c r="A24" t="s">
        <v>889</v>
      </c>
      <c r="B24" t="s">
        <v>888</v>
      </c>
      <c r="C24" t="s">
        <v>5</v>
      </c>
      <c r="D24" t="s">
        <v>886</v>
      </c>
      <c r="E24" s="3">
        <v>165.5</v>
      </c>
      <c r="F24" s="3">
        <f>E24*stddisc</f>
        <v>165.5</v>
      </c>
    </row>
    <row r="25" spans="1:6" x14ac:dyDescent="0.25">
      <c r="E25" s="3"/>
      <c r="F25" s="3"/>
    </row>
    <row r="26" spans="1:6" x14ac:dyDescent="0.25">
      <c r="A26" t="s">
        <v>890</v>
      </c>
      <c r="E26" s="3"/>
      <c r="F26" s="3"/>
    </row>
    <row r="27" spans="1:6" x14ac:dyDescent="0.25">
      <c r="B27" t="s">
        <v>211</v>
      </c>
      <c r="C27" t="s">
        <v>1</v>
      </c>
      <c r="D27" t="s">
        <v>2</v>
      </c>
      <c r="E27" t="s">
        <v>3</v>
      </c>
      <c r="F27" s="3" t="str">
        <f>F22</f>
        <v>Dealer Price</v>
      </c>
    </row>
    <row r="28" spans="1:6" x14ac:dyDescent="0.25">
      <c r="A28" t="s">
        <v>891</v>
      </c>
      <c r="B28" t="s">
        <v>280</v>
      </c>
      <c r="C28" t="s">
        <v>5</v>
      </c>
      <c r="D28" t="s">
        <v>893</v>
      </c>
      <c r="E28" s="3">
        <v>31.04</v>
      </c>
      <c r="F28" s="3">
        <f>E28*stddisc</f>
        <v>31.04</v>
      </c>
    </row>
    <row r="29" spans="1:6" x14ac:dyDescent="0.25">
      <c r="A29" t="s">
        <v>921</v>
      </c>
      <c r="B29" t="s">
        <v>283</v>
      </c>
      <c r="C29" t="s">
        <v>5</v>
      </c>
      <c r="D29" t="s">
        <v>920</v>
      </c>
      <c r="E29" s="3">
        <v>65.33</v>
      </c>
      <c r="F29" s="3">
        <f>E29*stddisc</f>
        <v>65.33</v>
      </c>
    </row>
  </sheetData>
  <phoneticPr fontId="8" type="noConversion"/>
  <pageMargins left="0.7" right="0.7" top="0.75" bottom="0.75" header="0.3" footer="0.3"/>
  <pageSetup orientation="portrait" horizontalDpi="4294967294" verticalDpi="4294967294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7"/>
  </sheetPr>
  <dimension ref="A1:M16"/>
  <sheetViews>
    <sheetView zoomScale="115" zoomScaleNormal="115" workbookViewId="0">
      <selection activeCell="K16" sqref="K16"/>
    </sheetView>
  </sheetViews>
  <sheetFormatPr defaultRowHeight="15" x14ac:dyDescent="0.25"/>
  <cols>
    <col min="1" max="1" width="27.7109375" bestFit="1" customWidth="1"/>
    <col min="2" max="2" width="6.85546875" bestFit="1" customWidth="1"/>
    <col min="3" max="3" width="5" bestFit="1" customWidth="1"/>
    <col min="4" max="4" width="11.5703125" bestFit="1" customWidth="1"/>
    <col min="5" max="5" width="10.28515625" customWidth="1"/>
    <col min="6" max="6" width="11.7109375" bestFit="1" customWidth="1"/>
    <col min="7" max="7" width="2.85546875" customWidth="1"/>
    <col min="8" max="8" width="8.85546875" customWidth="1"/>
    <col min="9" max="9" width="1.42578125" style="3" customWidth="1"/>
    <col min="10" max="10" width="11.140625" bestFit="1" customWidth="1"/>
    <col min="11" max="11" width="9.42578125" customWidth="1"/>
    <col min="12" max="12" width="11.7109375" bestFit="1" customWidth="1"/>
    <col min="13" max="13" width="2.28515625" style="3" customWidth="1"/>
  </cols>
  <sheetData>
    <row r="1" spans="1:12" x14ac:dyDescent="0.25">
      <c r="E1" s="3"/>
      <c r="F1" s="3"/>
    </row>
    <row r="2" spans="1:12" x14ac:dyDescent="0.25">
      <c r="A2" t="s">
        <v>307</v>
      </c>
      <c r="E2" s="3"/>
      <c r="F2" s="3"/>
      <c r="J2" t="s">
        <v>237</v>
      </c>
    </row>
    <row r="3" spans="1:12" x14ac:dyDescent="0.25">
      <c r="A3" t="s">
        <v>868</v>
      </c>
      <c r="B3" t="s">
        <v>230</v>
      </c>
      <c r="C3" t="s">
        <v>1</v>
      </c>
      <c r="D3" t="s">
        <v>2</v>
      </c>
      <c r="E3" t="s">
        <v>3</v>
      </c>
      <c r="F3" t="s">
        <v>929</v>
      </c>
      <c r="J3" t="s">
        <v>2</v>
      </c>
      <c r="K3" t="s">
        <v>3</v>
      </c>
      <c r="L3" t="str">
        <f>F3</f>
        <v>Dealer Price</v>
      </c>
    </row>
    <row r="4" spans="1:12" x14ac:dyDescent="0.25">
      <c r="A4" t="s">
        <v>299</v>
      </c>
      <c r="B4">
        <v>48</v>
      </c>
      <c r="C4" t="s">
        <v>5</v>
      </c>
      <c r="D4" t="s">
        <v>308</v>
      </c>
      <c r="E4" s="3">
        <v>98.225297125025008</v>
      </c>
      <c r="F4" s="3">
        <f t="shared" ref="F4:F10" si="0">E4*stddisc</f>
        <v>98.225297125025008</v>
      </c>
      <c r="G4" s="3"/>
      <c r="H4" s="3"/>
      <c r="J4" t="s">
        <v>316</v>
      </c>
      <c r="K4" s="3">
        <v>141.41582486153499</v>
      </c>
      <c r="L4" s="3">
        <f t="shared" ref="L4:L10" si="1">K4*stddisc</f>
        <v>141.41582486153499</v>
      </c>
    </row>
    <row r="5" spans="1:12" x14ac:dyDescent="0.25">
      <c r="A5" t="s">
        <v>301</v>
      </c>
      <c r="B5">
        <v>48</v>
      </c>
      <c r="C5" t="s">
        <v>5</v>
      </c>
      <c r="D5" t="s">
        <v>309</v>
      </c>
      <c r="E5" s="3">
        <v>98.225297125025008</v>
      </c>
      <c r="F5" s="3">
        <f t="shared" si="0"/>
        <v>98.225297125025008</v>
      </c>
      <c r="G5" s="3"/>
      <c r="H5" s="3"/>
      <c r="J5" t="s">
        <v>317</v>
      </c>
      <c r="K5" s="3">
        <v>141.41582486153499</v>
      </c>
      <c r="L5" s="3">
        <f t="shared" si="1"/>
        <v>141.41582486153499</v>
      </c>
    </row>
    <row r="6" spans="1:12" x14ac:dyDescent="0.25">
      <c r="A6" t="s">
        <v>302</v>
      </c>
      <c r="B6">
        <v>48</v>
      </c>
      <c r="C6" t="s">
        <v>5</v>
      </c>
      <c r="D6" t="s">
        <v>310</v>
      </c>
      <c r="E6" s="3">
        <v>115.60811939586</v>
      </c>
      <c r="F6" s="3">
        <f t="shared" si="0"/>
        <v>115.60811939586</v>
      </c>
      <c r="G6" s="3"/>
      <c r="H6" s="3"/>
      <c r="J6" t="s">
        <v>922</v>
      </c>
      <c r="K6" s="3">
        <v>169.22574022228</v>
      </c>
      <c r="L6" s="3">
        <f t="shared" si="1"/>
        <v>169.22574022228</v>
      </c>
    </row>
    <row r="7" spans="1:12" x14ac:dyDescent="0.25">
      <c r="A7" t="s">
        <v>303</v>
      </c>
      <c r="B7">
        <v>48</v>
      </c>
      <c r="C7" t="s">
        <v>5</v>
      </c>
      <c r="D7" t="s">
        <v>311</v>
      </c>
      <c r="E7" s="3">
        <v>134.20006842151</v>
      </c>
      <c r="F7" s="3">
        <f t="shared" si="0"/>
        <v>134.20006842151</v>
      </c>
      <c r="G7" s="3"/>
      <c r="H7" s="3"/>
      <c r="J7" t="s">
        <v>318</v>
      </c>
      <c r="K7" s="3">
        <v>180.87496142996002</v>
      </c>
      <c r="L7" s="3">
        <f t="shared" si="1"/>
        <v>180.87496142996002</v>
      </c>
    </row>
    <row r="8" spans="1:12" x14ac:dyDescent="0.25">
      <c r="A8" t="s">
        <v>304</v>
      </c>
      <c r="B8">
        <v>48</v>
      </c>
      <c r="C8" t="s">
        <v>5</v>
      </c>
      <c r="D8" t="s">
        <v>312</v>
      </c>
      <c r="E8" s="3">
        <v>123.73397124273501</v>
      </c>
      <c r="F8" s="3">
        <f t="shared" si="0"/>
        <v>123.73397124273501</v>
      </c>
      <c r="G8" s="3"/>
      <c r="H8" s="3"/>
      <c r="J8" t="s">
        <v>319</v>
      </c>
      <c r="K8" s="3">
        <v>154.43018917949001</v>
      </c>
      <c r="L8" s="3">
        <f t="shared" si="1"/>
        <v>154.43018917949001</v>
      </c>
    </row>
    <row r="9" spans="1:12" x14ac:dyDescent="0.25">
      <c r="A9" t="s">
        <v>313</v>
      </c>
      <c r="B9">
        <v>48</v>
      </c>
      <c r="C9" t="s">
        <v>5</v>
      </c>
      <c r="D9" t="s">
        <v>314</v>
      </c>
      <c r="E9" s="3">
        <v>125.43714978984001</v>
      </c>
      <c r="F9" s="3">
        <f t="shared" si="0"/>
        <v>125.43714978984001</v>
      </c>
      <c r="G9" s="3"/>
      <c r="H9" s="3"/>
      <c r="J9" t="s">
        <v>320</v>
      </c>
      <c r="K9" s="3">
        <v>163.97318958846003</v>
      </c>
      <c r="L9" s="3">
        <f t="shared" si="1"/>
        <v>163.97318958846003</v>
      </c>
    </row>
    <row r="10" spans="1:12" x14ac:dyDescent="0.25">
      <c r="A10" t="s">
        <v>306</v>
      </c>
      <c r="B10">
        <v>48</v>
      </c>
      <c r="C10" t="s">
        <v>5</v>
      </c>
      <c r="D10" t="s">
        <v>315</v>
      </c>
      <c r="E10" s="3">
        <v>141.63</v>
      </c>
      <c r="F10" s="3">
        <f t="shared" si="0"/>
        <v>141.63</v>
      </c>
      <c r="G10" s="3"/>
      <c r="H10" s="3"/>
      <c r="J10" t="s">
        <v>321</v>
      </c>
      <c r="K10" s="3">
        <v>180.87496142996002</v>
      </c>
      <c r="L10" s="3">
        <f t="shared" si="1"/>
        <v>180.87496142996002</v>
      </c>
    </row>
    <row r="11" spans="1:12" x14ac:dyDescent="0.25">
      <c r="E11" s="3"/>
      <c r="F11" s="3"/>
    </row>
    <row r="12" spans="1:12" x14ac:dyDescent="0.25">
      <c r="A12" t="s">
        <v>950</v>
      </c>
      <c r="E12" s="3"/>
      <c r="F12" s="3"/>
    </row>
    <row r="13" spans="1:12" x14ac:dyDescent="0.25">
      <c r="A13" t="s">
        <v>951</v>
      </c>
      <c r="B13" t="s">
        <v>230</v>
      </c>
      <c r="C13" t="s">
        <v>1</v>
      </c>
      <c r="D13" t="s">
        <v>2</v>
      </c>
      <c r="E13" t="s">
        <v>3</v>
      </c>
      <c r="F13" s="3" t="str">
        <f>+F3</f>
        <v>Dealer Price</v>
      </c>
    </row>
    <row r="14" spans="1:12" x14ac:dyDescent="0.25">
      <c r="A14" t="s">
        <v>956</v>
      </c>
      <c r="B14" t="s">
        <v>952</v>
      </c>
      <c r="C14" t="s">
        <v>5</v>
      </c>
      <c r="D14" t="s">
        <v>953</v>
      </c>
      <c r="E14" s="3">
        <v>37.432499999999997</v>
      </c>
      <c r="F14" s="3">
        <f>E14*stddisc</f>
        <v>37.432499999999997</v>
      </c>
    </row>
    <row r="15" spans="1:12" x14ac:dyDescent="0.25">
      <c r="A15" t="s">
        <v>957</v>
      </c>
      <c r="B15" t="s">
        <v>952</v>
      </c>
      <c r="C15" t="s">
        <v>5</v>
      </c>
      <c r="D15" t="s">
        <v>954</v>
      </c>
      <c r="E15" s="3">
        <v>49.150499999999994</v>
      </c>
      <c r="F15" s="3">
        <f>E15*stddisc</f>
        <v>49.150499999999994</v>
      </c>
    </row>
    <row r="16" spans="1:12" x14ac:dyDescent="0.25">
      <c r="A16" t="s">
        <v>958</v>
      </c>
      <c r="B16" t="s">
        <v>952</v>
      </c>
      <c r="C16" t="s">
        <v>5</v>
      </c>
      <c r="D16" t="s">
        <v>955</v>
      </c>
      <c r="E16" s="3">
        <v>57.309699999999999</v>
      </c>
      <c r="F16" s="3">
        <f>E16*stddisc</f>
        <v>57.309699999999999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7"/>
  </sheetPr>
  <dimension ref="A1:G24"/>
  <sheetViews>
    <sheetView zoomScaleNormal="100" workbookViewId="0"/>
  </sheetViews>
  <sheetFormatPr defaultRowHeight="15" x14ac:dyDescent="0.25"/>
  <cols>
    <col min="1" max="1" width="53.5703125" bestFit="1" customWidth="1"/>
    <col min="2" max="2" width="6.85546875" bestFit="1" customWidth="1"/>
    <col min="3" max="3" width="5" bestFit="1" customWidth="1"/>
    <col min="4" max="4" width="12.7109375" bestFit="1" customWidth="1"/>
    <col min="5" max="5" width="10.28515625" customWidth="1"/>
    <col min="6" max="6" width="13.28515625" bestFit="1" customWidth="1"/>
    <col min="7" max="7" width="4.28515625" style="3" customWidth="1"/>
  </cols>
  <sheetData>
    <row r="1" spans="1:6" x14ac:dyDescent="0.25">
      <c r="E1" s="3"/>
      <c r="F1" s="3"/>
    </row>
    <row r="2" spans="1:6" x14ac:dyDescent="0.25">
      <c r="A2" t="s">
        <v>326</v>
      </c>
      <c r="E2" s="3"/>
      <c r="F2" s="3"/>
    </row>
    <row r="3" spans="1:6" x14ac:dyDescent="0.25">
      <c r="A3" t="s">
        <v>868</v>
      </c>
      <c r="B3" t="s">
        <v>230</v>
      </c>
      <c r="C3" t="s">
        <v>1</v>
      </c>
      <c r="D3" t="s">
        <v>2</v>
      </c>
      <c r="E3" t="s">
        <v>3</v>
      </c>
      <c r="F3" t="s">
        <v>929</v>
      </c>
    </row>
    <row r="4" spans="1:6" x14ac:dyDescent="0.25">
      <c r="A4" t="s">
        <v>322</v>
      </c>
      <c r="B4" t="s">
        <v>300</v>
      </c>
      <c r="C4" t="s">
        <v>5</v>
      </c>
      <c r="D4" t="s">
        <v>327</v>
      </c>
      <c r="E4" s="3">
        <v>116.50521343975501</v>
      </c>
      <c r="F4" s="3">
        <f t="shared" ref="F4:F12" si="0">E4*stddisc</f>
        <v>116.50521343975501</v>
      </c>
    </row>
    <row r="5" spans="1:6" x14ac:dyDescent="0.25">
      <c r="A5" t="s">
        <v>323</v>
      </c>
      <c r="B5" t="s">
        <v>300</v>
      </c>
      <c r="C5" t="s">
        <v>5</v>
      </c>
      <c r="D5" t="s">
        <v>328</v>
      </c>
      <c r="E5" s="3">
        <v>107.36</v>
      </c>
      <c r="F5" s="3">
        <f t="shared" si="0"/>
        <v>107.36</v>
      </c>
    </row>
    <row r="6" spans="1:6" x14ac:dyDescent="0.25">
      <c r="A6" t="s">
        <v>324</v>
      </c>
      <c r="B6" t="s">
        <v>300</v>
      </c>
      <c r="C6" t="s">
        <v>5</v>
      </c>
      <c r="D6" t="s">
        <v>329</v>
      </c>
      <c r="E6" s="3">
        <v>107.36</v>
      </c>
      <c r="F6" s="3">
        <f t="shared" si="0"/>
        <v>107.36</v>
      </c>
    </row>
    <row r="7" spans="1:6" x14ac:dyDescent="0.25">
      <c r="A7" t="s">
        <v>325</v>
      </c>
      <c r="B7" t="s">
        <v>300</v>
      </c>
      <c r="C7" t="s">
        <v>5</v>
      </c>
      <c r="D7" t="s">
        <v>330</v>
      </c>
      <c r="E7" s="3">
        <v>116.50521343975501</v>
      </c>
      <c r="F7" s="3">
        <f t="shared" si="0"/>
        <v>116.50521343975501</v>
      </c>
    </row>
    <row r="8" spans="1:6" x14ac:dyDescent="0.25">
      <c r="A8" t="s">
        <v>302</v>
      </c>
      <c r="B8" t="s">
        <v>300</v>
      </c>
      <c r="C8" t="s">
        <v>5</v>
      </c>
      <c r="D8" t="s">
        <v>331</v>
      </c>
      <c r="E8" s="3">
        <v>138.6</v>
      </c>
      <c r="F8" s="3">
        <f t="shared" si="0"/>
        <v>138.6</v>
      </c>
    </row>
    <row r="9" spans="1:6" x14ac:dyDescent="0.25">
      <c r="A9" t="s">
        <v>303</v>
      </c>
      <c r="B9" t="s">
        <v>300</v>
      </c>
      <c r="C9" t="s">
        <v>5</v>
      </c>
      <c r="D9" t="s">
        <v>332</v>
      </c>
      <c r="E9" s="3">
        <v>165.53</v>
      </c>
      <c r="F9" s="3">
        <f t="shared" si="0"/>
        <v>165.53</v>
      </c>
    </row>
    <row r="10" spans="1:6" x14ac:dyDescent="0.25">
      <c r="A10" t="s">
        <v>304</v>
      </c>
      <c r="B10" t="s">
        <v>300</v>
      </c>
      <c r="C10" t="s">
        <v>5</v>
      </c>
      <c r="D10" t="s">
        <v>333</v>
      </c>
      <c r="E10" s="3">
        <v>142.02000000000001</v>
      </c>
      <c r="F10" s="3">
        <f t="shared" si="0"/>
        <v>142.02000000000001</v>
      </c>
    </row>
    <row r="11" spans="1:6" x14ac:dyDescent="0.25">
      <c r="A11" t="s">
        <v>305</v>
      </c>
      <c r="B11" t="s">
        <v>300</v>
      </c>
      <c r="C11" t="s">
        <v>5</v>
      </c>
      <c r="D11" t="s">
        <v>334</v>
      </c>
      <c r="E11" s="3">
        <v>148.43</v>
      </c>
      <c r="F11" s="3">
        <f t="shared" si="0"/>
        <v>148.43</v>
      </c>
    </row>
    <row r="12" spans="1:6" x14ac:dyDescent="0.25">
      <c r="A12" t="s">
        <v>306</v>
      </c>
      <c r="B12" t="s">
        <v>300</v>
      </c>
      <c r="C12" t="s">
        <v>5</v>
      </c>
      <c r="D12" t="s">
        <v>335</v>
      </c>
      <c r="E12" s="3">
        <v>172.94413002741004</v>
      </c>
      <c r="F12" s="3">
        <f t="shared" si="0"/>
        <v>172.94413002741004</v>
      </c>
    </row>
    <row r="13" spans="1:6" x14ac:dyDescent="0.25">
      <c r="E13" s="3"/>
      <c r="F13" s="3"/>
    </row>
    <row r="14" spans="1:6" x14ac:dyDescent="0.25">
      <c r="A14" t="s">
        <v>336</v>
      </c>
      <c r="B14" t="s">
        <v>237</v>
      </c>
      <c r="E14" s="3"/>
      <c r="F14" s="3"/>
    </row>
    <row r="15" spans="1:6" x14ac:dyDescent="0.25">
      <c r="A15" t="s">
        <v>868</v>
      </c>
      <c r="B15" t="s">
        <v>230</v>
      </c>
      <c r="C15" t="s">
        <v>1</v>
      </c>
      <c r="D15" t="s">
        <v>2</v>
      </c>
      <c r="E15" s="3" t="s">
        <v>3</v>
      </c>
      <c r="F15" t="s">
        <v>929</v>
      </c>
    </row>
    <row r="16" spans="1:6" x14ac:dyDescent="0.25">
      <c r="A16" t="s">
        <v>322</v>
      </c>
      <c r="B16" t="s">
        <v>300</v>
      </c>
      <c r="C16" t="s">
        <v>5</v>
      </c>
      <c r="D16" t="s">
        <v>337</v>
      </c>
      <c r="E16" s="3">
        <v>160.41999999999999</v>
      </c>
      <c r="F16" s="3">
        <f t="shared" ref="F16:F24" si="1">E16*stddisc</f>
        <v>160.41999999999999</v>
      </c>
    </row>
    <row r="17" spans="1:6" x14ac:dyDescent="0.25">
      <c r="A17" t="s">
        <v>323</v>
      </c>
      <c r="B17" t="s">
        <v>300</v>
      </c>
      <c r="C17" t="s">
        <v>5</v>
      </c>
      <c r="D17" t="s">
        <v>338</v>
      </c>
      <c r="E17" s="3">
        <v>150.91982118164</v>
      </c>
      <c r="F17" s="3">
        <f t="shared" si="1"/>
        <v>150.91982118164</v>
      </c>
    </row>
    <row r="18" spans="1:6" x14ac:dyDescent="0.25">
      <c r="A18" t="s">
        <v>324</v>
      </c>
      <c r="B18" t="s">
        <v>300</v>
      </c>
      <c r="C18" t="s">
        <v>5</v>
      </c>
      <c r="D18" t="s">
        <v>339</v>
      </c>
      <c r="E18" s="3">
        <v>150.91982118164</v>
      </c>
      <c r="F18" s="3">
        <f t="shared" si="1"/>
        <v>150.91982118164</v>
      </c>
    </row>
    <row r="19" spans="1:6" x14ac:dyDescent="0.25">
      <c r="A19" t="s">
        <v>325</v>
      </c>
      <c r="B19" t="s">
        <v>300</v>
      </c>
      <c r="C19" t="s">
        <v>5</v>
      </c>
      <c r="D19" t="s">
        <v>340</v>
      </c>
      <c r="E19" s="3">
        <v>160.41999999999999</v>
      </c>
      <c r="F19" s="3">
        <f t="shared" si="1"/>
        <v>160.41999999999999</v>
      </c>
    </row>
    <row r="20" spans="1:6" x14ac:dyDescent="0.25">
      <c r="A20" t="s">
        <v>302</v>
      </c>
      <c r="B20" t="s">
        <v>300</v>
      </c>
      <c r="C20" t="s">
        <v>5</v>
      </c>
      <c r="D20" t="s">
        <v>341</v>
      </c>
      <c r="E20" s="3">
        <v>191.76</v>
      </c>
      <c r="F20" s="3">
        <f t="shared" si="1"/>
        <v>191.76</v>
      </c>
    </row>
    <row r="21" spans="1:6" x14ac:dyDescent="0.25">
      <c r="A21" t="s">
        <v>303</v>
      </c>
      <c r="B21" t="s">
        <v>300</v>
      </c>
      <c r="C21" t="s">
        <v>5</v>
      </c>
      <c r="D21" t="s">
        <v>342</v>
      </c>
      <c r="E21" s="3">
        <v>211.59</v>
      </c>
      <c r="F21" s="3">
        <f t="shared" si="1"/>
        <v>211.59</v>
      </c>
    </row>
    <row r="22" spans="1:6" x14ac:dyDescent="0.25">
      <c r="A22" t="s">
        <v>304</v>
      </c>
      <c r="B22" t="s">
        <v>300</v>
      </c>
      <c r="C22" t="s">
        <v>5</v>
      </c>
      <c r="D22" t="s">
        <v>343</v>
      </c>
      <c r="E22" s="3">
        <v>173.42518045674501</v>
      </c>
      <c r="F22" s="3">
        <f t="shared" si="1"/>
        <v>173.42518045674501</v>
      </c>
    </row>
    <row r="23" spans="1:6" x14ac:dyDescent="0.25">
      <c r="A23" t="s">
        <v>305</v>
      </c>
      <c r="B23" t="s">
        <v>300</v>
      </c>
      <c r="C23" t="s">
        <v>5</v>
      </c>
      <c r="D23" t="s">
        <v>344</v>
      </c>
      <c r="E23" s="3">
        <v>186.51</v>
      </c>
      <c r="F23" s="3">
        <f t="shared" si="1"/>
        <v>186.51</v>
      </c>
    </row>
    <row r="24" spans="1:6" x14ac:dyDescent="0.25">
      <c r="A24" t="s">
        <v>306</v>
      </c>
      <c r="B24" t="s">
        <v>300</v>
      </c>
      <c r="C24" t="s">
        <v>5</v>
      </c>
      <c r="D24" t="s">
        <v>345</v>
      </c>
      <c r="E24" s="3">
        <v>211.59</v>
      </c>
      <c r="F24" s="3">
        <f t="shared" si="1"/>
        <v>211.59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theme="7"/>
  </sheetPr>
  <dimension ref="A1:M40"/>
  <sheetViews>
    <sheetView zoomScaleNormal="100" workbookViewId="0">
      <selection activeCell="A2" sqref="A2"/>
    </sheetView>
  </sheetViews>
  <sheetFormatPr defaultRowHeight="15" x14ac:dyDescent="0.25"/>
  <cols>
    <col min="1" max="1" width="46.42578125" bestFit="1" customWidth="1"/>
    <col min="2" max="2" width="4.140625" bestFit="1" customWidth="1"/>
    <col min="3" max="3" width="5" bestFit="1" customWidth="1"/>
    <col min="4" max="4" width="13.28515625" bestFit="1" customWidth="1"/>
    <col min="5" max="5" width="10.5703125" customWidth="1"/>
    <col min="6" max="6" width="13.7109375" bestFit="1" customWidth="1"/>
    <col min="7" max="7" width="3.42578125" customWidth="1"/>
    <col min="8" max="8" width="7" style="3" customWidth="1"/>
    <col min="9" max="9" width="13.42578125" bestFit="1" customWidth="1"/>
    <col min="10" max="10" width="10.5703125" customWidth="1"/>
    <col min="11" max="11" width="13.7109375" bestFit="1" customWidth="1"/>
    <col min="12" max="12" width="18.5703125" style="3" customWidth="1"/>
    <col min="13" max="13" width="24.42578125" bestFit="1" customWidth="1"/>
  </cols>
  <sheetData>
    <row r="1" spans="1:11" x14ac:dyDescent="0.25">
      <c r="A1" t="s">
        <v>346</v>
      </c>
      <c r="D1" t="s">
        <v>19</v>
      </c>
      <c r="I1" t="s">
        <v>368</v>
      </c>
    </row>
    <row r="2" spans="1:11" x14ac:dyDescent="0.25">
      <c r="B2" t="s">
        <v>211</v>
      </c>
      <c r="C2" t="s">
        <v>1</v>
      </c>
      <c r="D2" t="s">
        <v>2</v>
      </c>
      <c r="E2" t="s">
        <v>3</v>
      </c>
      <c r="F2" t="s">
        <v>929</v>
      </c>
      <c r="I2" t="s">
        <v>2</v>
      </c>
      <c r="J2" t="s">
        <v>3</v>
      </c>
      <c r="K2" t="s">
        <v>929</v>
      </c>
    </row>
    <row r="3" spans="1:11" x14ac:dyDescent="0.25">
      <c r="A3" t="s">
        <v>347</v>
      </c>
      <c r="B3" t="s">
        <v>213</v>
      </c>
      <c r="C3" t="s">
        <v>5</v>
      </c>
      <c r="D3" t="s">
        <v>348</v>
      </c>
      <c r="E3" s="3">
        <v>13.45</v>
      </c>
      <c r="F3" s="3">
        <f t="shared" ref="F3:F11" si="0">E3*stddisc</f>
        <v>13.45</v>
      </c>
      <c r="G3" s="3"/>
      <c r="I3" t="s">
        <v>369</v>
      </c>
      <c r="J3" s="3">
        <v>13.45</v>
      </c>
      <c r="K3" s="3">
        <f t="shared" ref="K3:K11" si="1">J3*stddisc</f>
        <v>13.45</v>
      </c>
    </row>
    <row r="4" spans="1:11" x14ac:dyDescent="0.25">
      <c r="A4" t="s">
        <v>349</v>
      </c>
      <c r="B4" t="s">
        <v>273</v>
      </c>
      <c r="C4" t="s">
        <v>5</v>
      </c>
      <c r="D4" t="s">
        <v>350</v>
      </c>
      <c r="E4" s="3">
        <v>33.020000000000003</v>
      </c>
      <c r="F4" s="3">
        <f t="shared" si="0"/>
        <v>33.020000000000003</v>
      </c>
      <c r="G4" s="3"/>
      <c r="I4" t="s">
        <v>370</v>
      </c>
      <c r="J4" s="3">
        <v>33.020000000000003</v>
      </c>
      <c r="K4" s="3">
        <f t="shared" si="1"/>
        <v>33.020000000000003</v>
      </c>
    </row>
    <row r="5" spans="1:11" x14ac:dyDescent="0.25">
      <c r="A5" t="s">
        <v>351</v>
      </c>
      <c r="B5" t="s">
        <v>275</v>
      </c>
      <c r="C5" t="s">
        <v>5</v>
      </c>
      <c r="D5" t="s">
        <v>352</v>
      </c>
      <c r="E5" s="3">
        <v>33.020000000000003</v>
      </c>
      <c r="F5" s="3">
        <f t="shared" si="0"/>
        <v>33.020000000000003</v>
      </c>
      <c r="G5" s="3"/>
      <c r="I5" t="s">
        <v>371</v>
      </c>
      <c r="J5" s="3">
        <v>33.020000000000003</v>
      </c>
      <c r="K5" s="3">
        <f t="shared" si="1"/>
        <v>33.020000000000003</v>
      </c>
    </row>
    <row r="6" spans="1:11" x14ac:dyDescent="0.25">
      <c r="A6" t="s">
        <v>353</v>
      </c>
      <c r="B6" t="s">
        <v>277</v>
      </c>
      <c r="C6" t="s">
        <v>5</v>
      </c>
      <c r="D6" t="s">
        <v>354</v>
      </c>
      <c r="E6" s="3">
        <v>42.410445959209994</v>
      </c>
      <c r="F6" s="3">
        <f t="shared" si="0"/>
        <v>42.410445959209994</v>
      </c>
      <c r="G6" s="3"/>
      <c r="I6" t="s">
        <v>372</v>
      </c>
      <c r="J6" s="3">
        <v>42.410445959209994</v>
      </c>
      <c r="K6" s="3">
        <f t="shared" si="1"/>
        <v>42.410445959209994</v>
      </c>
    </row>
    <row r="7" spans="1:11" x14ac:dyDescent="0.25">
      <c r="A7" t="s">
        <v>355</v>
      </c>
      <c r="B7" t="s">
        <v>280</v>
      </c>
      <c r="C7" t="s">
        <v>5</v>
      </c>
      <c r="D7" t="s">
        <v>356</v>
      </c>
      <c r="E7" s="3">
        <v>70.930000000000007</v>
      </c>
      <c r="F7" s="3">
        <f t="shared" si="0"/>
        <v>70.930000000000007</v>
      </c>
      <c r="G7" s="3"/>
      <c r="I7" t="s">
        <v>373</v>
      </c>
      <c r="J7" s="3">
        <v>70.930000000000007</v>
      </c>
      <c r="K7" s="3">
        <f t="shared" si="1"/>
        <v>70.930000000000007</v>
      </c>
    </row>
    <row r="8" spans="1:11" x14ac:dyDescent="0.25">
      <c r="A8" t="s">
        <v>357</v>
      </c>
      <c r="B8" t="s">
        <v>283</v>
      </c>
      <c r="C8" t="s">
        <v>5</v>
      </c>
      <c r="D8" t="s">
        <v>358</v>
      </c>
      <c r="E8" s="3">
        <v>54.774742129415003</v>
      </c>
      <c r="F8" s="3">
        <f t="shared" si="0"/>
        <v>54.774742129415003</v>
      </c>
      <c r="G8" s="3"/>
      <c r="I8" t="s">
        <v>374</v>
      </c>
      <c r="J8" s="3">
        <v>54.774742129415003</v>
      </c>
      <c r="K8" s="3">
        <f t="shared" si="1"/>
        <v>54.774742129415003</v>
      </c>
    </row>
    <row r="9" spans="1:11" x14ac:dyDescent="0.25">
      <c r="A9" t="s">
        <v>359</v>
      </c>
      <c r="B9" t="s">
        <v>360</v>
      </c>
      <c r="C9" t="s">
        <v>5</v>
      </c>
      <c r="D9" t="s">
        <v>361</v>
      </c>
      <c r="E9" s="3">
        <v>70.930000000000007</v>
      </c>
      <c r="F9" s="3">
        <f t="shared" si="0"/>
        <v>70.930000000000007</v>
      </c>
      <c r="G9" s="3"/>
      <c r="I9" t="s">
        <v>375</v>
      </c>
      <c r="J9" s="3">
        <v>70.930000000000007</v>
      </c>
      <c r="K9" s="3">
        <f t="shared" si="1"/>
        <v>70.930000000000007</v>
      </c>
    </row>
    <row r="10" spans="1:11" x14ac:dyDescent="0.25">
      <c r="A10" t="s">
        <v>362</v>
      </c>
      <c r="B10" t="s">
        <v>363</v>
      </c>
      <c r="C10" t="s">
        <v>5</v>
      </c>
      <c r="D10" t="s">
        <v>364</v>
      </c>
      <c r="E10" s="3">
        <v>70.930000000000007</v>
      </c>
      <c r="F10" s="3">
        <f t="shared" si="0"/>
        <v>70.930000000000007</v>
      </c>
      <c r="G10" s="3"/>
      <c r="I10" t="s">
        <v>376</v>
      </c>
      <c r="J10" s="3">
        <v>70.930000000000007</v>
      </c>
      <c r="K10" s="3">
        <f t="shared" si="1"/>
        <v>70.930000000000007</v>
      </c>
    </row>
    <row r="11" spans="1:11" x14ac:dyDescent="0.25">
      <c r="A11" t="s">
        <v>365</v>
      </c>
      <c r="B11" t="s">
        <v>366</v>
      </c>
      <c r="C11" t="s">
        <v>5</v>
      </c>
      <c r="D11" t="s">
        <v>367</v>
      </c>
      <c r="E11" s="3">
        <v>37.28</v>
      </c>
      <c r="F11" s="3">
        <f t="shared" si="0"/>
        <v>37.28</v>
      </c>
      <c r="G11" s="3"/>
      <c r="I11" t="s">
        <v>377</v>
      </c>
      <c r="J11" s="3">
        <v>37.28</v>
      </c>
      <c r="K11" s="3">
        <f t="shared" si="1"/>
        <v>37.28</v>
      </c>
    </row>
    <row r="12" spans="1:11" x14ac:dyDescent="0.25">
      <c r="E12" s="3"/>
      <c r="F12" s="3"/>
      <c r="J12" s="3"/>
      <c r="K12" s="3"/>
    </row>
    <row r="13" spans="1:11" x14ac:dyDescent="0.25">
      <c r="D13" t="s">
        <v>41</v>
      </c>
      <c r="E13" s="3"/>
      <c r="F13" s="3"/>
      <c r="I13" t="s">
        <v>52</v>
      </c>
      <c r="J13" s="3"/>
      <c r="K13" s="3"/>
    </row>
    <row r="14" spans="1:11" x14ac:dyDescent="0.25">
      <c r="B14" t="s">
        <v>211</v>
      </c>
      <c r="C14" t="s">
        <v>1</v>
      </c>
      <c r="D14" t="s">
        <v>2</v>
      </c>
      <c r="E14" s="3" t="s">
        <v>3</v>
      </c>
      <c r="F14" s="3" t="str">
        <f>F2</f>
        <v>Dealer Price</v>
      </c>
      <c r="I14" t="s">
        <v>2</v>
      </c>
      <c r="J14" s="3" t="s">
        <v>3</v>
      </c>
      <c r="K14" s="3" t="str">
        <f>F2</f>
        <v>Dealer Price</v>
      </c>
    </row>
    <row r="15" spans="1:11" x14ac:dyDescent="0.25">
      <c r="A15" t="s">
        <v>347</v>
      </c>
      <c r="B15" t="s">
        <v>213</v>
      </c>
      <c r="C15" t="s">
        <v>5</v>
      </c>
      <c r="D15" t="s">
        <v>378</v>
      </c>
      <c r="E15" s="3">
        <v>13.45</v>
      </c>
      <c r="F15" s="3">
        <f t="shared" ref="F15:F23" si="2">E15*stddisc</f>
        <v>13.45</v>
      </c>
      <c r="G15" s="3"/>
      <c r="I15" t="s">
        <v>388</v>
      </c>
      <c r="J15" s="3">
        <v>13.45</v>
      </c>
      <c r="K15" s="3">
        <f t="shared" ref="K15:K23" si="3">J15*stddisc</f>
        <v>13.45</v>
      </c>
    </row>
    <row r="16" spans="1:11" x14ac:dyDescent="0.25">
      <c r="A16" t="s">
        <v>349</v>
      </c>
      <c r="B16" t="s">
        <v>273</v>
      </c>
      <c r="C16" t="s">
        <v>5</v>
      </c>
      <c r="D16" t="s">
        <v>379</v>
      </c>
      <c r="E16" s="3">
        <v>38.619999999999997</v>
      </c>
      <c r="F16" s="3">
        <f t="shared" si="2"/>
        <v>38.619999999999997</v>
      </c>
      <c r="G16" s="3"/>
      <c r="I16" t="s">
        <v>389</v>
      </c>
      <c r="J16" s="3">
        <v>37.130000000000003</v>
      </c>
      <c r="K16" s="3">
        <f t="shared" si="3"/>
        <v>37.130000000000003</v>
      </c>
    </row>
    <row r="17" spans="1:11" x14ac:dyDescent="0.25">
      <c r="A17" t="s">
        <v>351</v>
      </c>
      <c r="B17" t="s">
        <v>275</v>
      </c>
      <c r="C17" t="s">
        <v>5</v>
      </c>
      <c r="D17" t="s">
        <v>380</v>
      </c>
      <c r="E17" s="3">
        <v>38.619999999999997</v>
      </c>
      <c r="F17" s="3">
        <f t="shared" si="2"/>
        <v>38.619999999999997</v>
      </c>
      <c r="G17" s="3"/>
      <c r="I17" t="s">
        <v>390</v>
      </c>
      <c r="J17" s="3">
        <v>37.130000000000003</v>
      </c>
      <c r="K17" s="3">
        <f t="shared" si="3"/>
        <v>37.130000000000003</v>
      </c>
    </row>
    <row r="18" spans="1:11" x14ac:dyDescent="0.25">
      <c r="A18" t="s">
        <v>353</v>
      </c>
      <c r="B18" t="s">
        <v>277</v>
      </c>
      <c r="C18" t="s">
        <v>5</v>
      </c>
      <c r="D18" t="s">
        <v>381</v>
      </c>
      <c r="E18" s="3">
        <v>47.71500204485001</v>
      </c>
      <c r="F18" s="3">
        <f t="shared" si="2"/>
        <v>47.71500204485001</v>
      </c>
      <c r="G18" s="3"/>
      <c r="I18" t="s">
        <v>391</v>
      </c>
      <c r="J18" s="3">
        <v>47.72</v>
      </c>
      <c r="K18" s="3">
        <f t="shared" si="3"/>
        <v>47.72</v>
      </c>
    </row>
    <row r="19" spans="1:11" x14ac:dyDescent="0.25">
      <c r="A19" t="s">
        <v>355</v>
      </c>
      <c r="B19" t="s">
        <v>280</v>
      </c>
      <c r="C19" t="s">
        <v>5</v>
      </c>
      <c r="D19" t="s">
        <v>382</v>
      </c>
      <c r="E19" s="3">
        <v>79.78936445483501</v>
      </c>
      <c r="F19" s="3">
        <f t="shared" si="2"/>
        <v>79.78936445483501</v>
      </c>
      <c r="G19" s="3"/>
      <c r="I19" t="s">
        <v>392</v>
      </c>
      <c r="J19" s="3">
        <v>79.790000000000006</v>
      </c>
      <c r="K19" s="3">
        <f t="shared" si="3"/>
        <v>79.790000000000006</v>
      </c>
    </row>
    <row r="20" spans="1:11" x14ac:dyDescent="0.25">
      <c r="A20" t="s">
        <v>357</v>
      </c>
      <c r="B20" t="s">
        <v>283</v>
      </c>
      <c r="C20" t="s">
        <v>5</v>
      </c>
      <c r="D20" t="s">
        <v>383</v>
      </c>
      <c r="E20" s="3">
        <v>64.096719368150005</v>
      </c>
      <c r="F20" s="3">
        <f t="shared" si="2"/>
        <v>64.096719368150005</v>
      </c>
      <c r="G20" s="3"/>
      <c r="I20" t="s">
        <v>393</v>
      </c>
      <c r="J20" s="3">
        <v>61.63</v>
      </c>
      <c r="K20" s="3">
        <f t="shared" si="3"/>
        <v>61.63</v>
      </c>
    </row>
    <row r="21" spans="1:11" x14ac:dyDescent="0.25">
      <c r="A21" t="s">
        <v>359</v>
      </c>
      <c r="B21" t="s">
        <v>360</v>
      </c>
      <c r="C21" t="s">
        <v>5</v>
      </c>
      <c r="D21" t="s">
        <v>384</v>
      </c>
      <c r="E21" s="3">
        <v>82.974698378810004</v>
      </c>
      <c r="F21" s="3">
        <f t="shared" si="2"/>
        <v>82.974698378810004</v>
      </c>
      <c r="G21" s="3"/>
      <c r="I21" t="s">
        <v>394</v>
      </c>
      <c r="J21" s="3">
        <v>79.790000000000006</v>
      </c>
      <c r="K21" s="3">
        <f t="shared" si="3"/>
        <v>79.790000000000006</v>
      </c>
    </row>
    <row r="22" spans="1:11" x14ac:dyDescent="0.25">
      <c r="A22" t="s">
        <v>362</v>
      </c>
      <c r="B22" t="s">
        <v>363</v>
      </c>
      <c r="C22" t="s">
        <v>5</v>
      </c>
      <c r="D22" t="s">
        <v>385</v>
      </c>
      <c r="E22" s="3">
        <v>82.974698378810004</v>
      </c>
      <c r="F22" s="3">
        <f t="shared" si="2"/>
        <v>82.974698378810004</v>
      </c>
      <c r="G22" s="3"/>
      <c r="I22" t="s">
        <v>395</v>
      </c>
      <c r="J22" s="3">
        <v>79.790000000000006</v>
      </c>
      <c r="K22" s="3">
        <f t="shared" si="3"/>
        <v>79.790000000000006</v>
      </c>
    </row>
    <row r="23" spans="1:11" x14ac:dyDescent="0.25">
      <c r="A23" t="s">
        <v>386</v>
      </c>
      <c r="B23" t="s">
        <v>366</v>
      </c>
      <c r="C23" t="s">
        <v>5</v>
      </c>
      <c r="D23" t="s">
        <v>387</v>
      </c>
      <c r="E23" s="3">
        <v>37.28</v>
      </c>
      <c r="F23" s="3">
        <f t="shared" si="2"/>
        <v>37.28</v>
      </c>
      <c r="G23" s="3"/>
      <c r="I23" t="s">
        <v>396</v>
      </c>
      <c r="J23" s="3">
        <v>37.28</v>
      </c>
      <c r="K23" s="3">
        <f t="shared" si="3"/>
        <v>37.28</v>
      </c>
    </row>
    <row r="24" spans="1:11" x14ac:dyDescent="0.25">
      <c r="E24" s="3"/>
      <c r="F24" s="3"/>
      <c r="J24" s="3"/>
      <c r="K24" s="3"/>
    </row>
    <row r="25" spans="1:11" x14ac:dyDescent="0.25">
      <c r="A25" t="s">
        <v>397</v>
      </c>
      <c r="D25" t="s">
        <v>19</v>
      </c>
      <c r="E25" s="3"/>
      <c r="F25" s="3"/>
      <c r="I25" t="s">
        <v>20</v>
      </c>
      <c r="J25" s="3"/>
      <c r="K25" s="3"/>
    </row>
    <row r="26" spans="1:11" x14ac:dyDescent="0.25">
      <c r="B26" t="s">
        <v>211</v>
      </c>
      <c r="C26" t="s">
        <v>1</v>
      </c>
      <c r="D26" t="s">
        <v>2</v>
      </c>
      <c r="E26" s="3" t="s">
        <v>3</v>
      </c>
      <c r="F26" s="3" t="str">
        <f>F14</f>
        <v>Dealer Price</v>
      </c>
      <c r="I26" t="s">
        <v>2</v>
      </c>
      <c r="J26" s="3" t="s">
        <v>3</v>
      </c>
      <c r="K26" s="3" t="str">
        <f>F2</f>
        <v>Dealer Price</v>
      </c>
    </row>
    <row r="27" spans="1:11" x14ac:dyDescent="0.25">
      <c r="A27" t="s">
        <v>398</v>
      </c>
      <c r="B27" t="s">
        <v>399</v>
      </c>
      <c r="C27" t="s">
        <v>5</v>
      </c>
      <c r="D27" t="s">
        <v>400</v>
      </c>
      <c r="E27" s="3">
        <v>9.67</v>
      </c>
      <c r="F27" s="3">
        <f>E27*stddisc</f>
        <v>9.67</v>
      </c>
      <c r="G27" s="3"/>
      <c r="I27" t="s">
        <v>404</v>
      </c>
      <c r="J27" s="3">
        <v>9.67</v>
      </c>
      <c r="K27" s="3">
        <f>J27*stddisc</f>
        <v>9.67</v>
      </c>
    </row>
    <row r="28" spans="1:11" x14ac:dyDescent="0.25">
      <c r="A28" t="s">
        <v>401</v>
      </c>
      <c r="B28" t="s">
        <v>402</v>
      </c>
      <c r="C28" t="s">
        <v>5</v>
      </c>
      <c r="D28" t="s">
        <v>403</v>
      </c>
      <c r="E28" s="3">
        <v>30.43</v>
      </c>
      <c r="F28" s="3">
        <f>E28*stddisc</f>
        <v>30.43</v>
      </c>
      <c r="G28" s="3"/>
      <c r="I28" t="s">
        <v>405</v>
      </c>
      <c r="J28" s="3">
        <v>30.43</v>
      </c>
      <c r="K28" s="3">
        <f>J28*stddisc</f>
        <v>30.43</v>
      </c>
    </row>
    <row r="29" spans="1:11" x14ac:dyDescent="0.25">
      <c r="E29" s="3"/>
      <c r="F29" s="3"/>
      <c r="J29" s="3"/>
      <c r="K29" s="3"/>
    </row>
    <row r="30" spans="1:11" x14ac:dyDescent="0.25">
      <c r="D30" t="s">
        <v>41</v>
      </c>
      <c r="E30" s="3"/>
      <c r="F30" s="3"/>
      <c r="I30" t="s">
        <v>52</v>
      </c>
      <c r="J30" s="3"/>
      <c r="K30" s="3"/>
    </row>
    <row r="31" spans="1:11" x14ac:dyDescent="0.25">
      <c r="B31" t="s">
        <v>211</v>
      </c>
      <c r="C31" t="s">
        <v>1</v>
      </c>
      <c r="D31" t="s">
        <v>2</v>
      </c>
      <c r="E31" s="3" t="s">
        <v>3</v>
      </c>
      <c r="F31" t="s">
        <v>929</v>
      </c>
      <c r="I31" t="s">
        <v>2</v>
      </c>
      <c r="J31" s="3" t="s">
        <v>3</v>
      </c>
      <c r="K31" s="3" t="str">
        <f>F2</f>
        <v>Dealer Price</v>
      </c>
    </row>
    <row r="32" spans="1:11" x14ac:dyDescent="0.25">
      <c r="A32" t="s">
        <v>398</v>
      </c>
      <c r="B32" t="s">
        <v>399</v>
      </c>
      <c r="C32" t="s">
        <v>5</v>
      </c>
      <c r="D32" t="s">
        <v>406</v>
      </c>
      <c r="E32" s="3">
        <v>24.24</v>
      </c>
      <c r="F32" s="3">
        <f>E32*stddisc</f>
        <v>24.24</v>
      </c>
      <c r="G32" s="3"/>
      <c r="I32" t="s">
        <v>408</v>
      </c>
      <c r="J32" s="3">
        <v>9.67</v>
      </c>
      <c r="K32" s="3">
        <f>J32*stddisc</f>
        <v>9.67</v>
      </c>
    </row>
    <row r="33" spans="1:13" x14ac:dyDescent="0.25">
      <c r="A33" t="s">
        <v>401</v>
      </c>
      <c r="B33" t="s">
        <v>402</v>
      </c>
      <c r="C33" t="s">
        <v>5</v>
      </c>
      <c r="D33" t="s">
        <v>407</v>
      </c>
      <c r="E33" s="3">
        <v>30.43</v>
      </c>
      <c r="F33" s="3">
        <f>E33*stddisc</f>
        <v>30.43</v>
      </c>
      <c r="G33" s="3"/>
      <c r="I33" t="s">
        <v>409</v>
      </c>
      <c r="J33" s="3">
        <v>30.43</v>
      </c>
      <c r="K33" s="3">
        <f>J33*stddisc</f>
        <v>30.43</v>
      </c>
    </row>
    <row r="34" spans="1:13" x14ac:dyDescent="0.25">
      <c r="E34" s="3"/>
      <c r="F34" s="3"/>
    </row>
    <row r="35" spans="1:13" x14ac:dyDescent="0.25">
      <c r="A35" t="s">
        <v>410</v>
      </c>
      <c r="D35" t="s">
        <v>296</v>
      </c>
      <c r="E35" s="3"/>
      <c r="F35" s="3"/>
    </row>
    <row r="36" spans="1:13" x14ac:dyDescent="0.25">
      <c r="B36" t="s">
        <v>211</v>
      </c>
      <c r="C36" t="s">
        <v>1</v>
      </c>
      <c r="D36" t="s">
        <v>2</v>
      </c>
      <c r="E36" s="3" t="s">
        <v>3</v>
      </c>
      <c r="F36" s="3" t="str">
        <f>F2</f>
        <v>Dealer Price</v>
      </c>
    </row>
    <row r="37" spans="1:13" x14ac:dyDescent="0.25">
      <c r="A37" t="s">
        <v>411</v>
      </c>
      <c r="B37" t="s">
        <v>412</v>
      </c>
      <c r="C37" t="s">
        <v>5</v>
      </c>
      <c r="D37" t="s">
        <v>413</v>
      </c>
      <c r="E37" s="3">
        <v>6.74</v>
      </c>
      <c r="F37" s="3">
        <f>E37*stddisc</f>
        <v>6.74</v>
      </c>
      <c r="G37" s="3"/>
    </row>
    <row r="38" spans="1:13" x14ac:dyDescent="0.25">
      <c r="A38" t="s">
        <v>414</v>
      </c>
      <c r="B38" t="s">
        <v>415</v>
      </c>
      <c r="C38" t="s">
        <v>5</v>
      </c>
      <c r="D38" t="s">
        <v>416</v>
      </c>
      <c r="E38" s="3">
        <v>6.5526869293200001</v>
      </c>
      <c r="F38" s="3">
        <f>E38*stddisc</f>
        <v>6.5526869293200001</v>
      </c>
      <c r="G38" s="3"/>
    </row>
    <row r="39" spans="1:13" x14ac:dyDescent="0.25">
      <c r="A39" t="s">
        <v>871</v>
      </c>
      <c r="B39" t="s">
        <v>415</v>
      </c>
      <c r="C39" t="s">
        <v>5</v>
      </c>
      <c r="D39" t="s">
        <v>872</v>
      </c>
      <c r="E39" s="3">
        <v>10.69</v>
      </c>
      <c r="F39" s="3">
        <f>E39*stddisc</f>
        <v>10.69</v>
      </c>
      <c r="G39" s="3"/>
    </row>
    <row r="40" spans="1:13" x14ac:dyDescent="0.25">
      <c r="A40" t="s">
        <v>417</v>
      </c>
      <c r="B40" t="s">
        <v>418</v>
      </c>
      <c r="C40" t="s">
        <v>5</v>
      </c>
      <c r="D40" t="s">
        <v>419</v>
      </c>
      <c r="E40" s="3">
        <v>9.98</v>
      </c>
      <c r="F40" s="3">
        <f>E40*stddisc</f>
        <v>9.98</v>
      </c>
      <c r="G40" s="3"/>
      <c r="M40" s="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theme="7"/>
  </sheetPr>
  <dimension ref="A1:M21"/>
  <sheetViews>
    <sheetView zoomScaleNormal="100" workbookViewId="0">
      <selection activeCell="E9" sqref="E9"/>
    </sheetView>
  </sheetViews>
  <sheetFormatPr defaultRowHeight="15" x14ac:dyDescent="0.25"/>
  <cols>
    <col min="1" max="1" width="48.85546875" bestFit="1" customWidth="1"/>
    <col min="2" max="2" width="4.140625" bestFit="1" customWidth="1"/>
    <col min="3" max="3" width="5" bestFit="1" customWidth="1"/>
    <col min="4" max="4" width="13.28515625" bestFit="1" customWidth="1"/>
    <col min="5" max="5" width="9.28515625" customWidth="1"/>
    <col min="6" max="6" width="13.7109375" bestFit="1" customWidth="1"/>
    <col min="7" max="8" width="3.28515625" customWidth="1"/>
    <col min="9" max="9" width="13.42578125" bestFit="1" customWidth="1"/>
    <col min="10" max="10" width="9.28515625" customWidth="1"/>
    <col min="11" max="11" width="13.7109375" bestFit="1" customWidth="1"/>
    <col min="12" max="12" width="8.85546875" customWidth="1"/>
    <col min="13" max="13" width="2.85546875" style="3" customWidth="1"/>
  </cols>
  <sheetData>
    <row r="1" spans="1:12" x14ac:dyDescent="0.25">
      <c r="A1" t="s">
        <v>420</v>
      </c>
      <c r="D1" t="s">
        <v>19</v>
      </c>
      <c r="I1" t="s">
        <v>368</v>
      </c>
    </row>
    <row r="2" spans="1:12" x14ac:dyDescent="0.25">
      <c r="B2" t="s">
        <v>211</v>
      </c>
      <c r="C2" t="s">
        <v>1</v>
      </c>
      <c r="D2" t="s">
        <v>2</v>
      </c>
      <c r="E2" t="s">
        <v>3</v>
      </c>
      <c r="F2" t="s">
        <v>929</v>
      </c>
      <c r="I2" t="s">
        <v>2</v>
      </c>
      <c r="J2" t="s">
        <v>3</v>
      </c>
      <c r="K2" t="str">
        <f>F2</f>
        <v>Dealer Price</v>
      </c>
    </row>
    <row r="3" spans="1:12" x14ac:dyDescent="0.25">
      <c r="A3" t="s">
        <v>421</v>
      </c>
      <c r="B3" t="s">
        <v>213</v>
      </c>
      <c r="C3" t="s">
        <v>5</v>
      </c>
      <c r="D3" t="s">
        <v>422</v>
      </c>
      <c r="E3" s="3">
        <v>54.774742129415003</v>
      </c>
      <c r="F3" s="3">
        <f t="shared" ref="F3:F8" si="0">E3*stddisc</f>
        <v>54.774742129415003</v>
      </c>
      <c r="G3" s="3"/>
      <c r="I3" t="s">
        <v>428</v>
      </c>
      <c r="J3" s="3">
        <v>54.774742129415003</v>
      </c>
      <c r="K3" s="3">
        <f t="shared" ref="K3:K8" si="1">J3*stddisc</f>
        <v>54.774742129415003</v>
      </c>
      <c r="L3" s="3"/>
    </row>
    <row r="4" spans="1:12" x14ac:dyDescent="0.25">
      <c r="A4" t="s">
        <v>355</v>
      </c>
      <c r="B4" t="s">
        <v>273</v>
      </c>
      <c r="C4" t="s">
        <v>5</v>
      </c>
      <c r="D4" t="s">
        <v>356</v>
      </c>
      <c r="E4" s="3">
        <v>70.930000000000007</v>
      </c>
      <c r="F4" s="3">
        <f t="shared" si="0"/>
        <v>70.930000000000007</v>
      </c>
      <c r="G4" s="3"/>
      <c r="I4" t="s">
        <v>373</v>
      </c>
      <c r="J4" s="3">
        <v>70.930000000000007</v>
      </c>
      <c r="K4" s="3">
        <f t="shared" si="1"/>
        <v>70.930000000000007</v>
      </c>
      <c r="L4" s="3"/>
    </row>
    <row r="5" spans="1:12" x14ac:dyDescent="0.25">
      <c r="A5" t="s">
        <v>423</v>
      </c>
      <c r="B5" t="s">
        <v>275</v>
      </c>
      <c r="C5" t="s">
        <v>5</v>
      </c>
      <c r="D5" t="s">
        <v>358</v>
      </c>
      <c r="E5" s="3">
        <v>54.774742129415003</v>
      </c>
      <c r="F5" s="3">
        <f t="shared" si="0"/>
        <v>54.774742129415003</v>
      </c>
      <c r="G5" s="3"/>
      <c r="I5" t="s">
        <v>374</v>
      </c>
      <c r="J5" s="3">
        <v>54.774742129415003</v>
      </c>
      <c r="K5" s="3">
        <f t="shared" si="1"/>
        <v>54.774742129415003</v>
      </c>
      <c r="L5" s="3"/>
    </row>
    <row r="6" spans="1:12" x14ac:dyDescent="0.25">
      <c r="A6" t="s">
        <v>424</v>
      </c>
      <c r="B6" t="s">
        <v>277</v>
      </c>
      <c r="C6" t="s">
        <v>5</v>
      </c>
      <c r="D6" t="s">
        <v>361</v>
      </c>
      <c r="E6" s="3">
        <v>70.930000000000007</v>
      </c>
      <c r="F6" s="3">
        <f t="shared" si="0"/>
        <v>70.930000000000007</v>
      </c>
      <c r="G6" s="3"/>
      <c r="I6" t="s">
        <v>375</v>
      </c>
      <c r="J6" s="3">
        <v>70.930000000000007</v>
      </c>
      <c r="K6" s="3">
        <f t="shared" si="1"/>
        <v>70.930000000000007</v>
      </c>
      <c r="L6" s="3"/>
    </row>
    <row r="7" spans="1:12" x14ac:dyDescent="0.25">
      <c r="A7" t="s">
        <v>425</v>
      </c>
      <c r="B7" t="s">
        <v>280</v>
      </c>
      <c r="C7" t="s">
        <v>5</v>
      </c>
      <c r="D7" t="s">
        <v>426</v>
      </c>
      <c r="E7" s="3">
        <v>37.28</v>
      </c>
      <c r="F7" s="3">
        <f t="shared" si="0"/>
        <v>37.28</v>
      </c>
      <c r="G7" s="3"/>
      <c r="I7" t="s">
        <v>429</v>
      </c>
      <c r="J7" s="3">
        <v>37.28</v>
      </c>
      <c r="K7" s="3">
        <f t="shared" si="1"/>
        <v>37.28</v>
      </c>
      <c r="L7" s="3"/>
    </row>
    <row r="8" spans="1:12" x14ac:dyDescent="0.25">
      <c r="A8" t="s">
        <v>427</v>
      </c>
      <c r="B8" t="s">
        <v>283</v>
      </c>
      <c r="C8" t="s">
        <v>5</v>
      </c>
      <c r="D8" t="s">
        <v>184</v>
      </c>
      <c r="E8" s="3">
        <v>37.28</v>
      </c>
      <c r="F8" s="3">
        <f t="shared" si="0"/>
        <v>37.28</v>
      </c>
      <c r="G8" s="3"/>
      <c r="I8" t="s">
        <v>185</v>
      </c>
      <c r="J8" s="3">
        <v>37.28</v>
      </c>
      <c r="K8" s="3">
        <f t="shared" si="1"/>
        <v>37.28</v>
      </c>
      <c r="L8" s="3"/>
    </row>
    <row r="9" spans="1:12" x14ac:dyDescent="0.25">
      <c r="E9" s="3"/>
      <c r="F9" s="3"/>
      <c r="J9" s="3"/>
      <c r="K9" s="3"/>
    </row>
    <row r="10" spans="1:12" x14ac:dyDescent="0.25">
      <c r="D10" t="s">
        <v>41</v>
      </c>
      <c r="E10" s="3"/>
      <c r="F10" s="3"/>
      <c r="I10" t="s">
        <v>52</v>
      </c>
      <c r="J10" s="3"/>
      <c r="K10" s="3"/>
    </row>
    <row r="11" spans="1:12" x14ac:dyDescent="0.25">
      <c r="B11" t="s">
        <v>211</v>
      </c>
      <c r="C11" t="s">
        <v>1</v>
      </c>
      <c r="D11" t="s">
        <v>2</v>
      </c>
      <c r="E11" t="s">
        <v>3</v>
      </c>
      <c r="F11" s="3" t="str">
        <f>F2</f>
        <v>Dealer Price</v>
      </c>
      <c r="I11" t="s">
        <v>2</v>
      </c>
      <c r="J11" t="s">
        <v>3</v>
      </c>
      <c r="K11" s="3" t="str">
        <f>F2</f>
        <v>Dealer Price</v>
      </c>
    </row>
    <row r="12" spans="1:12" x14ac:dyDescent="0.25">
      <c r="A12" t="s">
        <v>421</v>
      </c>
      <c r="B12" t="s">
        <v>213</v>
      </c>
      <c r="C12" t="s">
        <v>5</v>
      </c>
      <c r="D12" t="s">
        <v>430</v>
      </c>
      <c r="E12" s="3">
        <v>61.626460406700005</v>
      </c>
      <c r="F12" s="3">
        <f t="shared" ref="F12:F17" si="2">E12*stddisc</f>
        <v>61.626460406700005</v>
      </c>
      <c r="G12" s="3"/>
      <c r="I12" t="s">
        <v>433</v>
      </c>
      <c r="J12" s="3">
        <v>61.626460406700005</v>
      </c>
      <c r="K12" s="3">
        <f t="shared" ref="K12:K17" si="3">J12*stddisc</f>
        <v>61.626460406700005</v>
      </c>
      <c r="L12" s="3"/>
    </row>
    <row r="13" spans="1:12" x14ac:dyDescent="0.25">
      <c r="A13" t="s">
        <v>355</v>
      </c>
      <c r="B13" t="s">
        <v>273</v>
      </c>
      <c r="C13" t="s">
        <v>5</v>
      </c>
      <c r="D13" t="s">
        <v>382</v>
      </c>
      <c r="E13" s="3">
        <v>79.78936445483501</v>
      </c>
      <c r="F13" s="3">
        <f t="shared" si="2"/>
        <v>79.78936445483501</v>
      </c>
      <c r="G13" s="3"/>
      <c r="I13" t="s">
        <v>392</v>
      </c>
      <c r="J13" s="3">
        <v>79.78936445483501</v>
      </c>
      <c r="K13" s="3">
        <f t="shared" si="3"/>
        <v>79.78936445483501</v>
      </c>
      <c r="L13" s="3"/>
    </row>
    <row r="14" spans="1:12" x14ac:dyDescent="0.25">
      <c r="A14" t="s">
        <v>423</v>
      </c>
      <c r="B14" t="s">
        <v>275</v>
      </c>
      <c r="C14" t="s">
        <v>5</v>
      </c>
      <c r="D14" t="s">
        <v>383</v>
      </c>
      <c r="E14" s="3">
        <v>64.096719368150005</v>
      </c>
      <c r="F14" s="3">
        <f t="shared" si="2"/>
        <v>64.096719368150005</v>
      </c>
      <c r="G14" s="3"/>
      <c r="I14" t="s">
        <v>393</v>
      </c>
      <c r="J14" s="3">
        <v>61.626460406700005</v>
      </c>
      <c r="K14" s="3">
        <f t="shared" si="3"/>
        <v>61.626460406700005</v>
      </c>
      <c r="L14" s="3"/>
    </row>
    <row r="15" spans="1:12" x14ac:dyDescent="0.25">
      <c r="A15" t="s">
        <v>424</v>
      </c>
      <c r="B15" t="s">
        <v>277</v>
      </c>
      <c r="C15" t="s">
        <v>5</v>
      </c>
      <c r="D15" t="s">
        <v>384</v>
      </c>
      <c r="E15" s="3">
        <v>82.974698378810004</v>
      </c>
      <c r="F15" s="3">
        <f t="shared" si="2"/>
        <v>82.974698378810004</v>
      </c>
      <c r="G15" s="3"/>
      <c r="I15" t="s">
        <v>394</v>
      </c>
      <c r="J15" s="3">
        <v>79.78936445483501</v>
      </c>
      <c r="K15" s="3">
        <f t="shared" si="3"/>
        <v>79.78936445483501</v>
      </c>
      <c r="L15" s="3"/>
    </row>
    <row r="16" spans="1:12" x14ac:dyDescent="0.25">
      <c r="A16" t="s">
        <v>425</v>
      </c>
      <c r="B16" t="s">
        <v>280</v>
      </c>
      <c r="C16" t="s">
        <v>5</v>
      </c>
      <c r="D16" t="s">
        <v>431</v>
      </c>
      <c r="E16" s="3">
        <v>37.28</v>
      </c>
      <c r="F16" s="3">
        <f t="shared" si="2"/>
        <v>37.28</v>
      </c>
      <c r="G16" s="3"/>
      <c r="I16" t="s">
        <v>434</v>
      </c>
      <c r="J16" s="3">
        <v>37.28</v>
      </c>
      <c r="K16" s="3">
        <f t="shared" si="3"/>
        <v>37.28</v>
      </c>
      <c r="L16" s="3"/>
    </row>
    <row r="17" spans="1:12" x14ac:dyDescent="0.25">
      <c r="A17" t="s">
        <v>432</v>
      </c>
      <c r="B17" t="s">
        <v>283</v>
      </c>
      <c r="C17" t="s">
        <v>5</v>
      </c>
      <c r="D17" t="s">
        <v>186</v>
      </c>
      <c r="E17" s="3">
        <v>37.28</v>
      </c>
      <c r="F17" s="3">
        <f t="shared" si="2"/>
        <v>37.28</v>
      </c>
      <c r="G17" s="3"/>
      <c r="I17" t="s">
        <v>187</v>
      </c>
      <c r="J17" s="3">
        <v>37.28</v>
      </c>
      <c r="K17" s="3">
        <f t="shared" si="3"/>
        <v>37.28</v>
      </c>
      <c r="L17" s="3"/>
    </row>
    <row r="18" spans="1:12" x14ac:dyDescent="0.25">
      <c r="E18" s="3"/>
      <c r="F18" s="3"/>
    </row>
    <row r="19" spans="1:12" x14ac:dyDescent="0.25">
      <c r="A19" t="s">
        <v>435</v>
      </c>
      <c r="E19" s="3"/>
      <c r="F19" s="3"/>
    </row>
    <row r="20" spans="1:12" x14ac:dyDescent="0.25">
      <c r="B20" t="s">
        <v>211</v>
      </c>
      <c r="C20" t="s">
        <v>1</v>
      </c>
      <c r="D20" t="s">
        <v>2</v>
      </c>
      <c r="E20" t="s">
        <v>3</v>
      </c>
      <c r="F20" s="3" t="str">
        <f>F2</f>
        <v>Dealer Price</v>
      </c>
    </row>
    <row r="21" spans="1:12" x14ac:dyDescent="0.25">
      <c r="A21" t="s">
        <v>435</v>
      </c>
      <c r="B21" t="s">
        <v>360</v>
      </c>
      <c r="C21" t="s">
        <v>5</v>
      </c>
      <c r="D21" t="s">
        <v>419</v>
      </c>
      <c r="E21" s="3">
        <v>9.98</v>
      </c>
      <c r="F21" s="3">
        <f>E21*stddisc</f>
        <v>9.98</v>
      </c>
      <c r="G21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7"/>
  </sheetPr>
  <dimension ref="A1:M25"/>
  <sheetViews>
    <sheetView zoomScaleNormal="100" workbookViewId="0">
      <selection activeCell="A28" sqref="A28"/>
    </sheetView>
  </sheetViews>
  <sheetFormatPr defaultRowHeight="15" x14ac:dyDescent="0.25"/>
  <cols>
    <col min="1" max="1" width="14.85546875" bestFit="1" customWidth="1"/>
    <col min="2" max="2" width="4.140625" bestFit="1" customWidth="1"/>
    <col min="3" max="3" width="5" bestFit="1" customWidth="1"/>
    <col min="4" max="4" width="11.140625" bestFit="1" customWidth="1"/>
    <col min="5" max="5" width="8.85546875" customWidth="1"/>
    <col min="6" max="6" width="13.7109375" bestFit="1" customWidth="1"/>
    <col min="7" max="7" width="2.42578125" customWidth="1"/>
    <col min="8" max="8" width="8.85546875" customWidth="1"/>
    <col min="9" max="9" width="2" customWidth="1"/>
    <col min="10" max="10" width="11.28515625" bestFit="1" customWidth="1"/>
    <col min="11" max="11" width="8.85546875" customWidth="1"/>
    <col min="12" max="12" width="13.7109375" bestFit="1" customWidth="1"/>
    <col min="13" max="13" width="2.5703125" style="3" customWidth="1"/>
  </cols>
  <sheetData>
    <row r="1" spans="1:12" x14ac:dyDescent="0.25">
      <c r="A1" t="s">
        <v>436</v>
      </c>
      <c r="D1" t="s">
        <v>19</v>
      </c>
      <c r="J1" t="s">
        <v>20</v>
      </c>
    </row>
    <row r="2" spans="1:12" x14ac:dyDescent="0.25">
      <c r="B2" t="s">
        <v>211</v>
      </c>
      <c r="C2" t="s">
        <v>1</v>
      </c>
      <c r="D2" t="s">
        <v>2</v>
      </c>
      <c r="E2" t="s">
        <v>3</v>
      </c>
      <c r="F2" t="s">
        <v>929</v>
      </c>
      <c r="J2" t="s">
        <v>2</v>
      </c>
      <c r="L2" t="str">
        <f>F2</f>
        <v>Dealer Price</v>
      </c>
    </row>
    <row r="3" spans="1:12" x14ac:dyDescent="0.25">
      <c r="A3" t="s">
        <v>437</v>
      </c>
      <c r="B3" t="s">
        <v>213</v>
      </c>
      <c r="C3" t="s">
        <v>5</v>
      </c>
      <c r="D3" t="s">
        <v>438</v>
      </c>
      <c r="E3" s="3">
        <v>14.63953468733</v>
      </c>
      <c r="F3" s="3">
        <f t="shared" ref="F3:F12" si="0">E3*stddisc</f>
        <v>14.63953468733</v>
      </c>
      <c r="G3" s="3"/>
      <c r="H3" s="3"/>
      <c r="J3" t="s">
        <v>457</v>
      </c>
      <c r="K3" s="3">
        <v>14.63953468733</v>
      </c>
      <c r="L3" s="3">
        <f t="shared" ref="L3:L12" si="1">K3*stddisc</f>
        <v>14.63953468733</v>
      </c>
    </row>
    <row r="4" spans="1:12" x14ac:dyDescent="0.25">
      <c r="A4" t="s">
        <v>439</v>
      </c>
      <c r="B4" t="s">
        <v>273</v>
      </c>
      <c r="C4" t="s">
        <v>5</v>
      </c>
      <c r="D4" t="s">
        <v>440</v>
      </c>
      <c r="E4" s="3">
        <v>19.294022625219998</v>
      </c>
      <c r="F4" s="3">
        <f t="shared" si="0"/>
        <v>19.294022625219998</v>
      </c>
      <c r="G4" s="3"/>
      <c r="H4" s="3"/>
      <c r="J4" t="s">
        <v>458</v>
      </c>
      <c r="K4" s="3">
        <v>19.294022625219998</v>
      </c>
      <c r="L4" s="3">
        <f t="shared" si="1"/>
        <v>19.294022625219998</v>
      </c>
    </row>
    <row r="5" spans="1:12" x14ac:dyDescent="0.25">
      <c r="A5" t="s">
        <v>441</v>
      </c>
      <c r="B5" t="s">
        <v>275</v>
      </c>
      <c r="C5" t="s">
        <v>5</v>
      </c>
      <c r="D5" t="s">
        <v>442</v>
      </c>
      <c r="E5" s="3">
        <v>19.294022625219998</v>
      </c>
      <c r="F5" s="3">
        <f t="shared" si="0"/>
        <v>19.294022625219998</v>
      </c>
      <c r="G5" s="3"/>
      <c r="H5" s="3"/>
      <c r="J5" t="s">
        <v>459</v>
      </c>
      <c r="K5" s="3">
        <v>19.294022625219998</v>
      </c>
      <c r="L5" s="3">
        <f t="shared" si="1"/>
        <v>19.294022625219998</v>
      </c>
    </row>
    <row r="6" spans="1:12" x14ac:dyDescent="0.25">
      <c r="A6" t="s">
        <v>443</v>
      </c>
      <c r="B6" t="s">
        <v>277</v>
      </c>
      <c r="C6" t="s">
        <v>5</v>
      </c>
      <c r="D6" t="s">
        <v>444</v>
      </c>
      <c r="E6" s="3">
        <v>19.294022625219998</v>
      </c>
      <c r="F6" s="3">
        <f t="shared" si="0"/>
        <v>19.294022625219998</v>
      </c>
      <c r="G6" s="3"/>
      <c r="H6" s="3"/>
      <c r="J6" t="s">
        <v>460</v>
      </c>
      <c r="K6" s="3">
        <v>19.294022625219998</v>
      </c>
      <c r="L6" s="3">
        <f t="shared" si="1"/>
        <v>19.294022625219998</v>
      </c>
    </row>
    <row r="7" spans="1:12" x14ac:dyDescent="0.25">
      <c r="A7" t="s">
        <v>445</v>
      </c>
      <c r="B7" t="s">
        <v>280</v>
      </c>
      <c r="C7" t="s">
        <v>5</v>
      </c>
      <c r="D7" t="s">
        <v>446</v>
      </c>
      <c r="E7" s="3">
        <v>19.294022625219998</v>
      </c>
      <c r="F7" s="3">
        <f t="shared" si="0"/>
        <v>19.294022625219998</v>
      </c>
      <c r="G7" s="3"/>
      <c r="H7" s="3"/>
      <c r="J7" t="s">
        <v>461</v>
      </c>
      <c r="K7" s="3">
        <v>19.294022625219998</v>
      </c>
      <c r="L7" s="3">
        <f t="shared" si="1"/>
        <v>19.294022625219998</v>
      </c>
    </row>
    <row r="8" spans="1:12" x14ac:dyDescent="0.25">
      <c r="A8" t="s">
        <v>447</v>
      </c>
      <c r="B8" t="s">
        <v>283</v>
      </c>
      <c r="C8" t="s">
        <v>5</v>
      </c>
      <c r="D8" t="s">
        <v>448</v>
      </c>
      <c r="E8" s="3">
        <v>44.646680387470006</v>
      </c>
      <c r="F8" s="3">
        <f t="shared" si="0"/>
        <v>44.646680387470006</v>
      </c>
      <c r="G8" s="3"/>
      <c r="H8" s="3"/>
      <c r="J8" t="s">
        <v>462</v>
      </c>
      <c r="K8" s="3">
        <v>44.646680387470006</v>
      </c>
      <c r="L8" s="3">
        <f t="shared" si="1"/>
        <v>44.646680387470006</v>
      </c>
    </row>
    <row r="9" spans="1:12" x14ac:dyDescent="0.25">
      <c r="A9" t="s">
        <v>449</v>
      </c>
      <c r="B9" t="s">
        <v>360</v>
      </c>
      <c r="C9" t="s">
        <v>5</v>
      </c>
      <c r="D9" t="s">
        <v>450</v>
      </c>
      <c r="E9" s="3">
        <v>44.646680387470006</v>
      </c>
      <c r="F9" s="3">
        <f t="shared" si="0"/>
        <v>44.646680387470006</v>
      </c>
      <c r="G9" s="3"/>
      <c r="H9" s="3"/>
      <c r="J9" t="s">
        <v>463</v>
      </c>
      <c r="K9" s="3">
        <v>44.646680387470006</v>
      </c>
      <c r="L9" s="3">
        <f t="shared" si="1"/>
        <v>44.646680387470006</v>
      </c>
    </row>
    <row r="10" spans="1:12" x14ac:dyDescent="0.25">
      <c r="A10" t="s">
        <v>451</v>
      </c>
      <c r="B10" t="s">
        <v>363</v>
      </c>
      <c r="C10" t="s">
        <v>5</v>
      </c>
      <c r="D10" t="s">
        <v>452</v>
      </c>
      <c r="E10" s="3">
        <v>32.854444187285004</v>
      </c>
      <c r="F10" s="3">
        <f t="shared" si="0"/>
        <v>32.854444187285004</v>
      </c>
      <c r="G10" s="3"/>
      <c r="H10" s="3"/>
      <c r="J10" t="s">
        <v>464</v>
      </c>
      <c r="K10" s="3">
        <v>32.854444187285004</v>
      </c>
      <c r="L10" s="3">
        <f t="shared" si="1"/>
        <v>32.854444187285004</v>
      </c>
    </row>
    <row r="11" spans="1:12" x14ac:dyDescent="0.25">
      <c r="A11" t="s">
        <v>453</v>
      </c>
      <c r="B11" t="s">
        <v>366</v>
      </c>
      <c r="C11" t="s">
        <v>5</v>
      </c>
      <c r="D11" t="s">
        <v>454</v>
      </c>
      <c r="E11" s="3">
        <v>49.33</v>
      </c>
      <c r="F11" s="3">
        <f t="shared" si="0"/>
        <v>49.33</v>
      </c>
      <c r="G11" s="3"/>
      <c r="H11" s="3"/>
      <c r="J11" t="s">
        <v>465</v>
      </c>
      <c r="K11" s="3">
        <v>49.33</v>
      </c>
      <c r="L11" s="3">
        <f t="shared" si="1"/>
        <v>49.33</v>
      </c>
    </row>
    <row r="12" spans="1:12" x14ac:dyDescent="0.25">
      <c r="A12" t="s">
        <v>455</v>
      </c>
      <c r="B12" t="s">
        <v>399</v>
      </c>
      <c r="C12" t="s">
        <v>5</v>
      </c>
      <c r="D12" t="s">
        <v>456</v>
      </c>
      <c r="E12" s="3">
        <v>65.819999999999993</v>
      </c>
      <c r="F12" s="3">
        <f t="shared" si="0"/>
        <v>65.819999999999993</v>
      </c>
      <c r="G12" s="3"/>
      <c r="H12" s="3"/>
      <c r="J12" t="s">
        <v>466</v>
      </c>
      <c r="K12" s="3">
        <v>65.819999999999993</v>
      </c>
      <c r="L12" s="3">
        <f t="shared" si="1"/>
        <v>65.819999999999993</v>
      </c>
    </row>
    <row r="13" spans="1:12" x14ac:dyDescent="0.25">
      <c r="E13" s="3"/>
      <c r="F13" s="3"/>
      <c r="K13" s="3"/>
      <c r="L13" s="3"/>
    </row>
    <row r="14" spans="1:12" x14ac:dyDescent="0.25">
      <c r="D14" t="s">
        <v>41</v>
      </c>
      <c r="E14" s="3"/>
      <c r="F14" s="3"/>
      <c r="J14" t="s">
        <v>52</v>
      </c>
      <c r="K14" s="3"/>
      <c r="L14" s="3"/>
    </row>
    <row r="15" spans="1:12" x14ac:dyDescent="0.25">
      <c r="B15" t="s">
        <v>211</v>
      </c>
      <c r="C15" t="s">
        <v>1</v>
      </c>
      <c r="D15" t="s">
        <v>2</v>
      </c>
      <c r="E15" t="s">
        <v>3</v>
      </c>
      <c r="F15" t="s">
        <v>929</v>
      </c>
      <c r="J15" t="s">
        <v>2</v>
      </c>
      <c r="K15" t="s">
        <v>3</v>
      </c>
      <c r="L15" t="s">
        <v>929</v>
      </c>
    </row>
    <row r="16" spans="1:12" x14ac:dyDescent="0.25">
      <c r="A16" t="s">
        <v>437</v>
      </c>
      <c r="B16" t="s">
        <v>213</v>
      </c>
      <c r="C16" t="s">
        <v>5</v>
      </c>
      <c r="D16" t="s">
        <v>467</v>
      </c>
      <c r="E16" s="3">
        <v>23.194431511720005</v>
      </c>
      <c r="F16" s="3">
        <f t="shared" ref="F16:F25" si="2">E16*stddisc</f>
        <v>23.194431511720005</v>
      </c>
      <c r="G16" s="3"/>
      <c r="H16" s="3"/>
      <c r="J16" t="s">
        <v>477</v>
      </c>
      <c r="K16" s="3">
        <v>14.63953468733</v>
      </c>
      <c r="L16" s="3">
        <f t="shared" ref="L16:L25" si="3">K16*stddisc</f>
        <v>14.63953468733</v>
      </c>
    </row>
    <row r="17" spans="1:12" x14ac:dyDescent="0.25">
      <c r="A17" t="s">
        <v>439</v>
      </c>
      <c r="B17" t="s">
        <v>273</v>
      </c>
      <c r="C17" t="s">
        <v>5</v>
      </c>
      <c r="D17" t="s">
        <v>468</v>
      </c>
      <c r="E17" s="3">
        <v>26.32</v>
      </c>
      <c r="F17" s="3">
        <f t="shared" si="2"/>
        <v>26.32</v>
      </c>
      <c r="G17" s="3"/>
      <c r="H17" s="3"/>
      <c r="J17" t="s">
        <v>478</v>
      </c>
      <c r="K17" s="3">
        <v>19.294022625219998</v>
      </c>
      <c r="L17" s="3">
        <f t="shared" si="3"/>
        <v>19.294022625219998</v>
      </c>
    </row>
    <row r="18" spans="1:12" x14ac:dyDescent="0.25">
      <c r="A18" t="s">
        <v>441</v>
      </c>
      <c r="B18" t="s">
        <v>275</v>
      </c>
      <c r="C18" t="s">
        <v>5</v>
      </c>
      <c r="D18" t="s">
        <v>469</v>
      </c>
      <c r="E18" s="3">
        <v>26.32</v>
      </c>
      <c r="F18" s="3">
        <f t="shared" si="2"/>
        <v>26.32</v>
      </c>
      <c r="G18" s="3"/>
      <c r="H18" s="3"/>
      <c r="J18" t="s">
        <v>479</v>
      </c>
      <c r="K18" s="3">
        <v>19.294022625219998</v>
      </c>
      <c r="L18" s="3">
        <f t="shared" si="3"/>
        <v>19.294022625219998</v>
      </c>
    </row>
    <row r="19" spans="1:12" x14ac:dyDescent="0.25">
      <c r="A19" t="s">
        <v>443</v>
      </c>
      <c r="B19" t="s">
        <v>277</v>
      </c>
      <c r="C19" t="s">
        <v>5</v>
      </c>
      <c r="D19" t="s">
        <v>470</v>
      </c>
      <c r="E19" s="3">
        <v>27.39</v>
      </c>
      <c r="F19" s="3">
        <f t="shared" si="2"/>
        <v>27.39</v>
      </c>
      <c r="G19" s="3"/>
      <c r="H19" s="3"/>
      <c r="J19" t="s">
        <v>480</v>
      </c>
      <c r="K19" s="3">
        <v>19.294022625219998</v>
      </c>
      <c r="L19" s="3">
        <f t="shared" si="3"/>
        <v>19.294022625219998</v>
      </c>
    </row>
    <row r="20" spans="1:12" x14ac:dyDescent="0.25">
      <c r="A20" t="s">
        <v>445</v>
      </c>
      <c r="B20" t="s">
        <v>280</v>
      </c>
      <c r="C20" t="s">
        <v>5</v>
      </c>
      <c r="D20" t="s">
        <v>471</v>
      </c>
      <c r="E20" s="3">
        <v>27.39</v>
      </c>
      <c r="F20" s="3">
        <f t="shared" si="2"/>
        <v>27.39</v>
      </c>
      <c r="G20" s="3"/>
      <c r="H20" s="3"/>
      <c r="J20" t="s">
        <v>481</v>
      </c>
      <c r="K20" s="3">
        <v>19.294022625219998</v>
      </c>
      <c r="L20" s="3">
        <f t="shared" si="3"/>
        <v>19.294022625219998</v>
      </c>
    </row>
    <row r="21" spans="1:12" x14ac:dyDescent="0.25">
      <c r="A21" t="s">
        <v>447</v>
      </c>
      <c r="B21" t="s">
        <v>283</v>
      </c>
      <c r="C21" t="s">
        <v>5</v>
      </c>
      <c r="D21" t="s">
        <v>472</v>
      </c>
      <c r="E21" s="3">
        <v>53.43560174505</v>
      </c>
      <c r="F21" s="3">
        <f t="shared" si="2"/>
        <v>53.43560174505</v>
      </c>
      <c r="G21" s="3"/>
      <c r="H21" s="3"/>
      <c r="J21" t="s">
        <v>482</v>
      </c>
      <c r="K21" s="3">
        <v>50.224265095165009</v>
      </c>
      <c r="L21" s="3">
        <f t="shared" si="3"/>
        <v>50.224265095165009</v>
      </c>
    </row>
    <row r="22" spans="1:12" x14ac:dyDescent="0.25">
      <c r="A22" t="s">
        <v>449</v>
      </c>
      <c r="B22" t="s">
        <v>360</v>
      </c>
      <c r="C22" t="s">
        <v>5</v>
      </c>
      <c r="D22" t="s">
        <v>473</v>
      </c>
      <c r="E22" s="3">
        <v>53.43560174505</v>
      </c>
      <c r="F22" s="3">
        <f t="shared" si="2"/>
        <v>53.43560174505</v>
      </c>
      <c r="G22" s="3"/>
      <c r="H22" s="3"/>
      <c r="J22" t="s">
        <v>483</v>
      </c>
      <c r="K22" s="3">
        <v>50.224265095165009</v>
      </c>
      <c r="L22" s="3">
        <f t="shared" si="3"/>
        <v>50.224265095165009</v>
      </c>
    </row>
    <row r="23" spans="1:12" x14ac:dyDescent="0.25">
      <c r="A23" t="s">
        <v>451</v>
      </c>
      <c r="B23" t="s">
        <v>363</v>
      </c>
      <c r="C23" t="s">
        <v>5</v>
      </c>
      <c r="D23" t="s">
        <v>474</v>
      </c>
      <c r="E23" s="3">
        <v>40.902287856430007</v>
      </c>
      <c r="F23" s="3">
        <f t="shared" si="2"/>
        <v>40.902287856430007</v>
      </c>
      <c r="G23" s="3"/>
      <c r="H23" s="3"/>
      <c r="J23" t="s">
        <v>484</v>
      </c>
      <c r="K23" s="3">
        <v>32.854444187285004</v>
      </c>
      <c r="L23" s="3">
        <f t="shared" si="3"/>
        <v>32.854444187285004</v>
      </c>
    </row>
    <row r="24" spans="1:12" x14ac:dyDescent="0.25">
      <c r="A24" t="s">
        <v>453</v>
      </c>
      <c r="B24" t="s">
        <v>366</v>
      </c>
      <c r="C24" t="s">
        <v>5</v>
      </c>
      <c r="D24" t="s">
        <v>475</v>
      </c>
      <c r="E24" s="3">
        <v>58.740157830690009</v>
      </c>
      <c r="F24" s="3">
        <f t="shared" si="2"/>
        <v>58.740157830690009</v>
      </c>
      <c r="G24" s="3"/>
      <c r="H24" s="3"/>
      <c r="J24" t="s">
        <v>485</v>
      </c>
      <c r="K24" s="3">
        <v>55.51</v>
      </c>
      <c r="L24" s="3">
        <f t="shared" si="3"/>
        <v>55.51</v>
      </c>
    </row>
    <row r="25" spans="1:12" x14ac:dyDescent="0.25">
      <c r="A25" t="s">
        <v>455</v>
      </c>
      <c r="B25" t="s">
        <v>399</v>
      </c>
      <c r="C25" t="s">
        <v>5</v>
      </c>
      <c r="D25" t="s">
        <v>476</v>
      </c>
      <c r="E25" s="3">
        <v>76.569999999999993</v>
      </c>
      <c r="F25" s="3">
        <f t="shared" si="2"/>
        <v>76.569999999999993</v>
      </c>
      <c r="G25" s="3"/>
      <c r="H25" s="3"/>
      <c r="J25" t="s">
        <v>486</v>
      </c>
      <c r="K25" s="3">
        <v>71.988546681835004</v>
      </c>
      <c r="L25" s="3">
        <f t="shared" si="3"/>
        <v>71.988546681835004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theme="7"/>
  </sheetPr>
  <dimension ref="A1:M14"/>
  <sheetViews>
    <sheetView topLeftCell="B1" zoomScaleNormal="100" workbookViewId="0">
      <selection activeCell="J15" sqref="J15"/>
    </sheetView>
  </sheetViews>
  <sheetFormatPr defaultRowHeight="15" x14ac:dyDescent="0.25"/>
  <cols>
    <col min="1" max="1" width="28" bestFit="1" customWidth="1"/>
    <col min="2" max="2" width="4.140625" bestFit="1" customWidth="1"/>
    <col min="3" max="3" width="5" bestFit="1" customWidth="1"/>
    <col min="4" max="4" width="16" bestFit="1" customWidth="1"/>
    <col min="5" max="5" width="8.85546875" customWidth="1"/>
    <col min="6" max="6" width="11.7109375" bestFit="1" customWidth="1"/>
    <col min="7" max="7" width="2.28515625" customWidth="1"/>
    <col min="8" max="8" width="3.28515625" customWidth="1"/>
    <col min="9" max="9" width="11.42578125" bestFit="1" customWidth="1"/>
    <col min="10" max="10" width="8.85546875" customWidth="1"/>
    <col min="11" max="11" width="11.7109375" bestFit="1" customWidth="1"/>
    <col min="12" max="12" width="2.28515625" style="3" customWidth="1"/>
    <col min="13" max="13" width="22.85546875" bestFit="1" customWidth="1"/>
  </cols>
  <sheetData>
    <row r="1" spans="1:13" x14ac:dyDescent="0.25">
      <c r="A1" t="s">
        <v>436</v>
      </c>
      <c r="D1" t="s">
        <v>487</v>
      </c>
      <c r="I1" t="s">
        <v>222</v>
      </c>
    </row>
    <row r="2" spans="1:13" x14ac:dyDescent="0.25">
      <c r="B2" t="s">
        <v>211</v>
      </c>
      <c r="C2" t="s">
        <v>1</v>
      </c>
      <c r="D2" t="s">
        <v>2</v>
      </c>
      <c r="E2" t="s">
        <v>3</v>
      </c>
      <c r="F2" t="s">
        <v>929</v>
      </c>
      <c r="I2" t="s">
        <v>2</v>
      </c>
      <c r="J2" t="s">
        <v>3</v>
      </c>
      <c r="K2" t="str">
        <f>F2</f>
        <v>Dealer Price</v>
      </c>
    </row>
    <row r="3" spans="1:13" x14ac:dyDescent="0.25">
      <c r="A3" t="s">
        <v>437</v>
      </c>
      <c r="B3" t="s">
        <v>213</v>
      </c>
      <c r="C3" t="s">
        <v>5</v>
      </c>
      <c r="D3" t="s">
        <v>488</v>
      </c>
      <c r="E3" s="3">
        <v>12.312290718385</v>
      </c>
      <c r="F3" s="3">
        <f t="shared" ref="F3:F14" si="0">E3*stddisc</f>
        <v>12.312290718385</v>
      </c>
      <c r="G3" s="3"/>
      <c r="I3" t="s">
        <v>506</v>
      </c>
      <c r="J3" s="3">
        <v>14.40551015414</v>
      </c>
      <c r="K3" s="3">
        <f t="shared" ref="K3:K12" si="1">J3*stddisc</f>
        <v>14.40551015414</v>
      </c>
    </row>
    <row r="4" spans="1:13" x14ac:dyDescent="0.25">
      <c r="A4" t="s">
        <v>439</v>
      </c>
      <c r="B4" t="s">
        <v>273</v>
      </c>
      <c r="C4" t="s">
        <v>5</v>
      </c>
      <c r="D4" t="s">
        <v>489</v>
      </c>
      <c r="E4" s="3">
        <v>15.27</v>
      </c>
      <c r="F4" s="3">
        <f t="shared" si="0"/>
        <v>15.27</v>
      </c>
      <c r="G4" s="3"/>
      <c r="I4" t="s">
        <v>507</v>
      </c>
      <c r="J4" s="3">
        <v>17.083790922870001</v>
      </c>
      <c r="K4" s="3">
        <f t="shared" si="1"/>
        <v>17.083790922870001</v>
      </c>
    </row>
    <row r="5" spans="1:13" x14ac:dyDescent="0.25">
      <c r="A5" t="s">
        <v>441</v>
      </c>
      <c r="B5" t="s">
        <v>275</v>
      </c>
      <c r="C5" t="s">
        <v>5</v>
      </c>
      <c r="D5" t="s">
        <v>490</v>
      </c>
      <c r="E5" s="3">
        <v>15.27</v>
      </c>
      <c r="F5" s="3">
        <f t="shared" si="0"/>
        <v>15.27</v>
      </c>
      <c r="G5" s="3"/>
      <c r="I5" t="s">
        <v>508</v>
      </c>
      <c r="J5" s="3">
        <v>17.083790922870001</v>
      </c>
      <c r="K5" s="3">
        <f t="shared" si="1"/>
        <v>17.083790922870001</v>
      </c>
    </row>
    <row r="6" spans="1:13" x14ac:dyDescent="0.25">
      <c r="A6" t="s">
        <v>491</v>
      </c>
      <c r="B6" t="s">
        <v>277</v>
      </c>
      <c r="C6" t="s">
        <v>5</v>
      </c>
      <c r="D6" t="s">
        <v>492</v>
      </c>
      <c r="E6" s="3">
        <v>15.692645086685001</v>
      </c>
      <c r="F6" s="3">
        <f t="shared" si="0"/>
        <v>15.692645086685001</v>
      </c>
      <c r="G6" s="3"/>
      <c r="I6" t="s">
        <v>509</v>
      </c>
      <c r="J6" s="3">
        <v>20.867187542775003</v>
      </c>
      <c r="K6" s="3">
        <f t="shared" si="1"/>
        <v>20.867187542775003</v>
      </c>
      <c r="M6" s="6"/>
    </row>
    <row r="7" spans="1:13" x14ac:dyDescent="0.25">
      <c r="A7" t="s">
        <v>445</v>
      </c>
      <c r="B7" t="s">
        <v>280</v>
      </c>
      <c r="C7" t="s">
        <v>5</v>
      </c>
      <c r="D7" t="s">
        <v>493</v>
      </c>
      <c r="E7" s="3">
        <v>15.692645086685001</v>
      </c>
      <c r="F7" s="3">
        <f t="shared" si="0"/>
        <v>15.692645086685001</v>
      </c>
      <c r="G7" s="3"/>
      <c r="I7" t="s">
        <v>510</v>
      </c>
      <c r="J7" s="3">
        <v>20.867187542775003</v>
      </c>
      <c r="K7" s="3">
        <f t="shared" si="1"/>
        <v>20.867187542775003</v>
      </c>
      <c r="M7" s="6"/>
    </row>
    <row r="8" spans="1:13" x14ac:dyDescent="0.25">
      <c r="A8" t="s">
        <v>447</v>
      </c>
      <c r="B8" t="s">
        <v>283</v>
      </c>
      <c r="C8" t="s">
        <v>5</v>
      </c>
      <c r="D8" t="s">
        <v>494</v>
      </c>
      <c r="E8" s="3">
        <v>26.483776339335002</v>
      </c>
      <c r="F8" s="3">
        <f t="shared" si="0"/>
        <v>26.483776339335002</v>
      </c>
      <c r="G8" s="3"/>
      <c r="I8" t="s">
        <v>511</v>
      </c>
      <c r="J8" s="3">
        <v>31.658318795425007</v>
      </c>
      <c r="K8" s="3">
        <f t="shared" si="1"/>
        <v>31.658318795425007</v>
      </c>
    </row>
    <row r="9" spans="1:13" x14ac:dyDescent="0.25">
      <c r="A9" t="s">
        <v>449</v>
      </c>
      <c r="B9" t="s">
        <v>360</v>
      </c>
      <c r="C9" t="s">
        <v>5</v>
      </c>
      <c r="D9" t="s">
        <v>495</v>
      </c>
      <c r="E9" s="3">
        <v>26.483776339335002</v>
      </c>
      <c r="F9" s="3">
        <f t="shared" si="0"/>
        <v>26.483776339335002</v>
      </c>
      <c r="G9" s="3"/>
      <c r="I9" t="s">
        <v>512</v>
      </c>
      <c r="J9" s="3">
        <v>31.658318795425007</v>
      </c>
      <c r="K9" s="3">
        <f t="shared" si="1"/>
        <v>31.658318795425007</v>
      </c>
    </row>
    <row r="10" spans="1:13" x14ac:dyDescent="0.25">
      <c r="A10" t="s">
        <v>496</v>
      </c>
      <c r="B10" t="s">
        <v>363</v>
      </c>
      <c r="C10" t="s">
        <v>5</v>
      </c>
      <c r="D10" t="s">
        <v>497</v>
      </c>
      <c r="E10" s="3">
        <v>22.323340193735003</v>
      </c>
      <c r="F10" s="3">
        <f t="shared" si="0"/>
        <v>22.323340193735003</v>
      </c>
      <c r="G10" s="3"/>
      <c r="I10" t="s">
        <v>513</v>
      </c>
      <c r="J10" s="3">
        <v>26.067732724775006</v>
      </c>
      <c r="K10" s="3">
        <f t="shared" si="1"/>
        <v>26.067732724775006</v>
      </c>
    </row>
    <row r="11" spans="1:13" x14ac:dyDescent="0.25">
      <c r="A11" t="s">
        <v>498</v>
      </c>
      <c r="B11" t="s">
        <v>366</v>
      </c>
      <c r="C11" t="s">
        <v>5</v>
      </c>
      <c r="D11" t="s">
        <v>499</v>
      </c>
      <c r="E11" s="3">
        <v>32.659423742960001</v>
      </c>
      <c r="F11" s="3">
        <f t="shared" si="0"/>
        <v>32.659423742960001</v>
      </c>
      <c r="G11" s="3"/>
      <c r="I11" t="s">
        <v>514</v>
      </c>
      <c r="J11" s="3">
        <v>37.794962110184997</v>
      </c>
      <c r="K11" s="3">
        <f t="shared" si="1"/>
        <v>37.794962110184997</v>
      </c>
    </row>
    <row r="12" spans="1:13" x14ac:dyDescent="0.25">
      <c r="A12" t="s">
        <v>500</v>
      </c>
      <c r="B12" t="s">
        <v>399</v>
      </c>
      <c r="C12" t="s">
        <v>5</v>
      </c>
      <c r="D12" t="s">
        <v>501</v>
      </c>
      <c r="E12" s="3">
        <v>44.438658580190001</v>
      </c>
      <c r="F12" s="3">
        <f t="shared" si="0"/>
        <v>44.438658580190001</v>
      </c>
      <c r="G12" s="3"/>
      <c r="I12" t="s">
        <v>515</v>
      </c>
      <c r="J12" s="3">
        <v>49.600199673325001</v>
      </c>
      <c r="K12" s="3">
        <f t="shared" si="1"/>
        <v>49.600199673325001</v>
      </c>
    </row>
    <row r="13" spans="1:13" x14ac:dyDescent="0.25">
      <c r="A13" t="s">
        <v>502</v>
      </c>
      <c r="B13" t="s">
        <v>402</v>
      </c>
      <c r="C13" t="s">
        <v>5</v>
      </c>
      <c r="D13" t="s">
        <v>503</v>
      </c>
      <c r="E13" s="3">
        <v>18.87</v>
      </c>
      <c r="F13" s="3">
        <f t="shared" si="0"/>
        <v>18.87</v>
      </c>
      <c r="G13" s="3"/>
      <c r="I13" t="s">
        <v>238</v>
      </c>
      <c r="J13" t="s">
        <v>252</v>
      </c>
      <c r="K13" t="s">
        <v>252</v>
      </c>
    </row>
    <row r="14" spans="1:13" x14ac:dyDescent="0.25">
      <c r="A14" t="s">
        <v>504</v>
      </c>
      <c r="B14" t="s">
        <v>366</v>
      </c>
      <c r="C14" t="s">
        <v>5</v>
      </c>
      <c r="D14" t="s">
        <v>505</v>
      </c>
      <c r="E14" s="3">
        <v>8.7759199946250011</v>
      </c>
      <c r="F14" s="3">
        <f t="shared" si="0"/>
        <v>8.7759199946250011</v>
      </c>
      <c r="G14" s="3"/>
      <c r="I14" t="s">
        <v>505</v>
      </c>
      <c r="J14" s="3">
        <v>8.7759199946250011</v>
      </c>
      <c r="K14" s="3">
        <f>J14*stddisc</f>
        <v>8.7759199946250011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L13"/>
  <sheetViews>
    <sheetView topLeftCell="B1" zoomScaleNormal="100" workbookViewId="0">
      <selection activeCell="F14" sqref="F14"/>
    </sheetView>
  </sheetViews>
  <sheetFormatPr defaultRowHeight="15" x14ac:dyDescent="0.25"/>
  <cols>
    <col min="1" max="1" width="28.42578125" bestFit="1" customWidth="1"/>
    <col min="2" max="2" width="4.5703125" bestFit="1" customWidth="1"/>
    <col min="3" max="3" width="5" bestFit="1" customWidth="1"/>
    <col min="4" max="4" width="16" bestFit="1" customWidth="1"/>
    <col min="5" max="5" width="10.5703125" customWidth="1"/>
    <col min="6" max="6" width="12.28515625" bestFit="1" customWidth="1"/>
    <col min="7" max="7" width="2.5703125" customWidth="1"/>
    <col min="8" max="8" width="2.85546875" customWidth="1"/>
    <col min="9" max="9" width="11.5703125" bestFit="1" customWidth="1"/>
    <col min="10" max="10" width="8.85546875" customWidth="1"/>
    <col min="11" max="11" width="13.7109375" bestFit="1" customWidth="1"/>
    <col min="12" max="12" width="2.7109375" style="3" customWidth="1"/>
  </cols>
  <sheetData>
    <row r="1" spans="1:11" x14ac:dyDescent="0.25">
      <c r="A1" t="s">
        <v>516</v>
      </c>
      <c r="D1" t="s">
        <v>487</v>
      </c>
      <c r="I1" t="s">
        <v>222</v>
      </c>
    </row>
    <row r="2" spans="1:11" x14ac:dyDescent="0.25">
      <c r="B2" t="s">
        <v>0</v>
      </c>
      <c r="C2" t="s">
        <v>1</v>
      </c>
      <c r="D2" t="s">
        <v>2</v>
      </c>
      <c r="E2" t="s">
        <v>3</v>
      </c>
      <c r="F2" t="s">
        <v>929</v>
      </c>
      <c r="I2" t="s">
        <v>2</v>
      </c>
      <c r="J2" t="s">
        <v>3</v>
      </c>
      <c r="K2" t="s">
        <v>929</v>
      </c>
    </row>
    <row r="3" spans="1:11" x14ac:dyDescent="0.25">
      <c r="A3" t="s">
        <v>517</v>
      </c>
      <c r="B3" t="s">
        <v>7</v>
      </c>
      <c r="C3" t="s">
        <v>5</v>
      </c>
      <c r="D3" t="s">
        <v>518</v>
      </c>
      <c r="E3" s="3">
        <v>200.80605083997497</v>
      </c>
      <c r="F3" s="3">
        <f>E3*stddisc</f>
        <v>200.80605083997497</v>
      </c>
      <c r="G3" s="3"/>
      <c r="I3" t="s">
        <v>520</v>
      </c>
      <c r="J3" s="3">
        <v>233.23145004974501</v>
      </c>
      <c r="K3" s="3">
        <f>J3*stddisc</f>
        <v>233.23145004974501</v>
      </c>
    </row>
    <row r="4" spans="1:11" x14ac:dyDescent="0.25">
      <c r="B4" t="s">
        <v>9</v>
      </c>
      <c r="C4" t="s">
        <v>10</v>
      </c>
      <c r="D4" t="s">
        <v>519</v>
      </c>
      <c r="E4" s="3">
        <v>12.195278451790001</v>
      </c>
      <c r="F4" s="3">
        <f>E4*stddisc</f>
        <v>12.195278451790001</v>
      </c>
      <c r="G4" s="3"/>
      <c r="I4" t="s">
        <v>521</v>
      </c>
      <c r="J4" s="3">
        <v>14.158484257995003</v>
      </c>
      <c r="K4" s="3">
        <f>J4*stddisc</f>
        <v>14.158484257995003</v>
      </c>
    </row>
    <row r="5" spans="1:11" x14ac:dyDescent="0.25">
      <c r="E5" s="3"/>
      <c r="F5" s="3"/>
      <c r="J5" s="3"/>
      <c r="K5" s="3"/>
    </row>
    <row r="6" spans="1:11" x14ac:dyDescent="0.25">
      <c r="A6" t="s">
        <v>522</v>
      </c>
      <c r="D6" t="s">
        <v>487</v>
      </c>
      <c r="E6" s="3"/>
      <c r="F6" s="3"/>
      <c r="I6" t="s">
        <v>222</v>
      </c>
      <c r="J6" s="3"/>
      <c r="K6" s="3"/>
    </row>
    <row r="7" spans="1:11" x14ac:dyDescent="0.25">
      <c r="B7" t="s">
        <v>211</v>
      </c>
      <c r="C7" t="s">
        <v>1</v>
      </c>
      <c r="D7" t="s">
        <v>2</v>
      </c>
      <c r="E7" s="3" t="s">
        <v>3</v>
      </c>
      <c r="F7" s="3" t="str">
        <f>F2</f>
        <v>Dealer Price</v>
      </c>
      <c r="I7" t="s">
        <v>2</v>
      </c>
      <c r="J7" t="s">
        <v>3</v>
      </c>
      <c r="K7" s="3" t="str">
        <f>K2</f>
        <v>Dealer Price</v>
      </c>
    </row>
    <row r="8" spans="1:11" x14ac:dyDescent="0.25">
      <c r="A8" t="s">
        <v>437</v>
      </c>
      <c r="B8" t="s">
        <v>213</v>
      </c>
      <c r="C8" t="s">
        <v>5</v>
      </c>
      <c r="D8" t="s">
        <v>523</v>
      </c>
      <c r="E8" s="3">
        <v>9.1399581573650028</v>
      </c>
      <c r="F8" s="3">
        <f t="shared" ref="F8:F13" si="0">E8*stddisc</f>
        <v>9.1399581573650028</v>
      </c>
      <c r="G8" s="3"/>
      <c r="I8" t="s">
        <v>529</v>
      </c>
      <c r="J8" s="3">
        <v>9.490994957149999</v>
      </c>
      <c r="K8" s="3">
        <f t="shared" ref="K8:K13" si="1">J8*stddisc</f>
        <v>9.490994957149999</v>
      </c>
    </row>
    <row r="9" spans="1:11" x14ac:dyDescent="0.25">
      <c r="A9" t="s">
        <v>439</v>
      </c>
      <c r="B9" t="s">
        <v>273</v>
      </c>
      <c r="C9" t="s">
        <v>5</v>
      </c>
      <c r="D9" t="s">
        <v>524</v>
      </c>
      <c r="E9" s="3">
        <v>11.5</v>
      </c>
      <c r="F9" s="3">
        <f t="shared" si="0"/>
        <v>11.5</v>
      </c>
      <c r="G9" s="3"/>
      <c r="I9" t="s">
        <v>530</v>
      </c>
      <c r="J9" s="3">
        <v>11.922249829735</v>
      </c>
      <c r="K9" s="3">
        <f t="shared" si="1"/>
        <v>11.922249829735</v>
      </c>
    </row>
    <row r="10" spans="1:11" x14ac:dyDescent="0.25">
      <c r="A10" t="s">
        <v>441</v>
      </c>
      <c r="B10" t="s">
        <v>275</v>
      </c>
      <c r="C10" t="s">
        <v>5</v>
      </c>
      <c r="D10" t="s">
        <v>525</v>
      </c>
      <c r="E10" s="3">
        <v>11.5</v>
      </c>
      <c r="F10" s="3">
        <f t="shared" si="0"/>
        <v>11.5</v>
      </c>
      <c r="G10" s="3"/>
      <c r="I10" t="s">
        <v>531</v>
      </c>
      <c r="J10" s="3">
        <v>11.922249829735</v>
      </c>
      <c r="K10" s="3">
        <f t="shared" si="1"/>
        <v>11.922249829735</v>
      </c>
    </row>
    <row r="11" spans="1:11" x14ac:dyDescent="0.25">
      <c r="A11" t="s">
        <v>491</v>
      </c>
      <c r="B11" t="s">
        <v>277</v>
      </c>
      <c r="C11" t="s">
        <v>5</v>
      </c>
      <c r="D11" t="s">
        <v>526</v>
      </c>
      <c r="E11" s="3">
        <v>11.5</v>
      </c>
      <c r="F11" s="3">
        <f t="shared" si="0"/>
        <v>11.5</v>
      </c>
      <c r="G11" s="3"/>
      <c r="I11" t="s">
        <v>532</v>
      </c>
      <c r="J11" s="3">
        <v>11.922249829735</v>
      </c>
      <c r="K11" s="3">
        <f t="shared" si="1"/>
        <v>11.922249829735</v>
      </c>
    </row>
    <row r="12" spans="1:11" x14ac:dyDescent="0.25">
      <c r="A12" t="s">
        <v>445</v>
      </c>
      <c r="B12" t="s">
        <v>280</v>
      </c>
      <c r="C12" t="s">
        <v>5</v>
      </c>
      <c r="D12" t="s">
        <v>527</v>
      </c>
      <c r="E12" s="3">
        <v>11.5</v>
      </c>
      <c r="F12" s="3">
        <f t="shared" si="0"/>
        <v>11.5</v>
      </c>
      <c r="G12" s="3"/>
      <c r="I12" t="s">
        <v>533</v>
      </c>
      <c r="J12" s="3">
        <v>11.922249829735</v>
      </c>
      <c r="K12" s="3">
        <f t="shared" si="1"/>
        <v>11.922249829735</v>
      </c>
    </row>
    <row r="13" spans="1:11" x14ac:dyDescent="0.25">
      <c r="A13" t="s">
        <v>496</v>
      </c>
      <c r="B13" t="s">
        <v>283</v>
      </c>
      <c r="C13" t="s">
        <v>5</v>
      </c>
      <c r="D13" t="s">
        <v>528</v>
      </c>
      <c r="E13" s="3">
        <v>15.666642360775002</v>
      </c>
      <c r="F13" s="3">
        <f t="shared" si="0"/>
        <v>15.666642360775002</v>
      </c>
      <c r="G13" s="3"/>
      <c r="I13" t="s">
        <v>534</v>
      </c>
      <c r="J13" s="3">
        <v>19.424036254770002</v>
      </c>
      <c r="K13" s="3">
        <f t="shared" si="1"/>
        <v>19.424036254770002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7"/>
  </sheetPr>
  <dimension ref="A1:H21"/>
  <sheetViews>
    <sheetView topLeftCell="B1" zoomScaleNormal="100" workbookViewId="0">
      <selection activeCell="E21" sqref="E21"/>
    </sheetView>
  </sheetViews>
  <sheetFormatPr defaultRowHeight="15" x14ac:dyDescent="0.25"/>
  <cols>
    <col min="1" max="1" width="52.28515625" bestFit="1" customWidth="1"/>
    <col min="2" max="2" width="4.5703125" bestFit="1" customWidth="1"/>
    <col min="3" max="3" width="5" bestFit="1" customWidth="1"/>
    <col min="4" max="4" width="25.85546875" bestFit="1" customWidth="1"/>
    <col min="5" max="5" width="10.28515625" customWidth="1"/>
    <col min="6" max="6" width="12.28515625" bestFit="1" customWidth="1"/>
    <col min="7" max="7" width="3" style="3" customWidth="1"/>
  </cols>
  <sheetData>
    <row r="1" spans="1:6" x14ac:dyDescent="0.25">
      <c r="A1" t="s">
        <v>535</v>
      </c>
      <c r="D1" t="s">
        <v>536</v>
      </c>
    </row>
    <row r="2" spans="1:6" x14ac:dyDescent="0.25">
      <c r="A2" t="s">
        <v>537</v>
      </c>
      <c r="B2" t="s">
        <v>0</v>
      </c>
      <c r="C2" t="s">
        <v>1</v>
      </c>
      <c r="D2" t="s">
        <v>2</v>
      </c>
      <c r="E2" t="s">
        <v>3</v>
      </c>
      <c r="F2" t="s">
        <v>929</v>
      </c>
    </row>
    <row r="3" spans="1:6" x14ac:dyDescent="0.25">
      <c r="A3" t="s">
        <v>538</v>
      </c>
      <c r="B3" t="s">
        <v>7</v>
      </c>
      <c r="C3" t="s">
        <v>5</v>
      </c>
      <c r="D3" t="s">
        <v>849</v>
      </c>
      <c r="E3" s="3">
        <v>203.37</v>
      </c>
      <c r="F3" s="3">
        <f>E3*stddisc</f>
        <v>203.37</v>
      </c>
    </row>
    <row r="4" spans="1:6" x14ac:dyDescent="0.25">
      <c r="B4" t="s">
        <v>9</v>
      </c>
      <c r="C4" t="s">
        <v>10</v>
      </c>
      <c r="D4" t="s">
        <v>539</v>
      </c>
      <c r="E4" s="3">
        <v>13.222386125234999</v>
      </c>
      <c r="F4" s="3">
        <f>E4*stddisc</f>
        <v>13.222386125234999</v>
      </c>
    </row>
    <row r="5" spans="1:6" x14ac:dyDescent="0.25">
      <c r="E5" s="3"/>
      <c r="F5" s="3"/>
    </row>
    <row r="6" spans="1:6" x14ac:dyDescent="0.25">
      <c r="A6" t="s">
        <v>540</v>
      </c>
      <c r="D6" t="s">
        <v>536</v>
      </c>
      <c r="E6" s="3"/>
      <c r="F6" s="3"/>
    </row>
    <row r="7" spans="1:6" x14ac:dyDescent="0.25">
      <c r="A7" t="s">
        <v>541</v>
      </c>
      <c r="B7" t="s">
        <v>211</v>
      </c>
      <c r="C7" t="s">
        <v>1</v>
      </c>
      <c r="D7" t="s">
        <v>2</v>
      </c>
      <c r="E7" s="3" t="s">
        <v>3</v>
      </c>
      <c r="F7" s="3" t="str">
        <f>F2</f>
        <v>Dealer Price</v>
      </c>
    </row>
    <row r="8" spans="1:6" x14ac:dyDescent="0.25">
      <c r="A8" t="s">
        <v>542</v>
      </c>
      <c r="B8" t="s">
        <v>213</v>
      </c>
      <c r="C8" t="s">
        <v>5</v>
      </c>
      <c r="D8" t="s">
        <v>543</v>
      </c>
      <c r="E8" s="3">
        <v>4.8625097451699997</v>
      </c>
      <c r="F8" s="3">
        <f t="shared" ref="F8:F13" si="0">E8*stddisc</f>
        <v>4.8625097451699997</v>
      </c>
    </row>
    <row r="9" spans="1:6" x14ac:dyDescent="0.25">
      <c r="A9" t="s">
        <v>544</v>
      </c>
      <c r="B9" t="s">
        <v>273</v>
      </c>
      <c r="C9" t="s">
        <v>5</v>
      </c>
      <c r="D9" t="s">
        <v>545</v>
      </c>
      <c r="E9" s="3">
        <v>7.7618136841350003</v>
      </c>
      <c r="F9" s="3">
        <f t="shared" si="0"/>
        <v>7.7618136841350003</v>
      </c>
    </row>
    <row r="10" spans="1:6" x14ac:dyDescent="0.25">
      <c r="A10" t="s">
        <v>546</v>
      </c>
      <c r="B10" t="s">
        <v>275</v>
      </c>
      <c r="C10" t="s">
        <v>5</v>
      </c>
      <c r="D10" t="s">
        <v>547</v>
      </c>
      <c r="E10" s="3">
        <v>7.7618136841350003</v>
      </c>
      <c r="F10" s="3">
        <f t="shared" si="0"/>
        <v>7.7618136841350003</v>
      </c>
    </row>
    <row r="11" spans="1:6" x14ac:dyDescent="0.25">
      <c r="A11" t="s">
        <v>548</v>
      </c>
      <c r="B11" t="s">
        <v>277</v>
      </c>
      <c r="C11" t="s">
        <v>5</v>
      </c>
      <c r="D11" t="s">
        <v>549</v>
      </c>
      <c r="E11" s="3">
        <v>7.7618136841350003</v>
      </c>
      <c r="F11" s="3">
        <f t="shared" si="0"/>
        <v>7.7618136841350003</v>
      </c>
    </row>
    <row r="12" spans="1:6" x14ac:dyDescent="0.25">
      <c r="A12" t="s">
        <v>550</v>
      </c>
      <c r="B12" t="s">
        <v>280</v>
      </c>
      <c r="C12" t="s">
        <v>5</v>
      </c>
      <c r="D12" t="s">
        <v>551</v>
      </c>
      <c r="E12" s="3">
        <v>7.7618136841350003</v>
      </c>
      <c r="F12" s="3">
        <f t="shared" si="0"/>
        <v>7.7618136841350003</v>
      </c>
    </row>
    <row r="13" spans="1:6" x14ac:dyDescent="0.25">
      <c r="A13" t="s">
        <v>552</v>
      </c>
      <c r="B13" t="s">
        <v>283</v>
      </c>
      <c r="C13" t="s">
        <v>5</v>
      </c>
      <c r="D13" t="s">
        <v>553</v>
      </c>
      <c r="E13" s="3">
        <v>14.262495161635004</v>
      </c>
      <c r="F13" s="3">
        <f t="shared" si="0"/>
        <v>14.262495161635004</v>
      </c>
    </row>
    <row r="14" spans="1:6" x14ac:dyDescent="0.25">
      <c r="E14" s="3"/>
      <c r="F14" s="3"/>
    </row>
    <row r="15" spans="1:6" x14ac:dyDescent="0.25">
      <c r="A15" t="s">
        <v>554</v>
      </c>
      <c r="D15" t="s">
        <v>555</v>
      </c>
      <c r="E15" s="3"/>
      <c r="F15" s="3"/>
    </row>
    <row r="16" spans="1:6" x14ac:dyDescent="0.25">
      <c r="A16" t="s">
        <v>556</v>
      </c>
      <c r="B16" t="s">
        <v>211</v>
      </c>
      <c r="C16" t="s">
        <v>1</v>
      </c>
      <c r="D16" t="s">
        <v>2</v>
      </c>
      <c r="E16" s="3" t="s">
        <v>3</v>
      </c>
      <c r="F16" s="3" t="str">
        <f>F2</f>
        <v>Dealer Price</v>
      </c>
    </row>
    <row r="17" spans="1:8" x14ac:dyDescent="0.25">
      <c r="A17" t="s">
        <v>557</v>
      </c>
      <c r="B17" t="s">
        <v>360</v>
      </c>
      <c r="C17" t="s">
        <v>5</v>
      </c>
      <c r="D17" t="s">
        <v>558</v>
      </c>
      <c r="E17" s="3">
        <v>1.1000000000000001</v>
      </c>
      <c r="F17" s="3">
        <f>E17*stddisc</f>
        <v>1.1000000000000001</v>
      </c>
    </row>
    <row r="18" spans="1:8" x14ac:dyDescent="0.25">
      <c r="A18" t="s">
        <v>559</v>
      </c>
      <c r="B18" t="s">
        <v>363</v>
      </c>
      <c r="C18" t="s">
        <v>5</v>
      </c>
      <c r="D18" t="s">
        <v>560</v>
      </c>
      <c r="E18" s="3">
        <v>64.408752079070013</v>
      </c>
      <c r="F18" s="3">
        <f>E18*stddisc</f>
        <v>64.408752079070013</v>
      </c>
    </row>
    <row r="19" spans="1:8" x14ac:dyDescent="0.25">
      <c r="A19" t="s">
        <v>561</v>
      </c>
      <c r="B19" t="s">
        <v>366</v>
      </c>
      <c r="C19" t="s">
        <v>5</v>
      </c>
      <c r="D19" t="s">
        <v>562</v>
      </c>
      <c r="E19" s="3">
        <v>54</v>
      </c>
      <c r="F19" s="3">
        <f>E19*stddisc</f>
        <v>54</v>
      </c>
    </row>
    <row r="20" spans="1:8" x14ac:dyDescent="0.25">
      <c r="E20" s="3"/>
      <c r="F20" s="3"/>
      <c r="H20" s="5"/>
    </row>
    <row r="21" spans="1:8" x14ac:dyDescent="0.25">
      <c r="F21" s="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theme="7"/>
  </sheetPr>
  <dimension ref="A2:G21"/>
  <sheetViews>
    <sheetView zoomScaleNormal="100" workbookViewId="0">
      <selection activeCell="A25" sqref="A25"/>
    </sheetView>
  </sheetViews>
  <sheetFormatPr defaultRowHeight="15" x14ac:dyDescent="0.25"/>
  <cols>
    <col min="1" max="1" width="45.5703125" bestFit="1" customWidth="1"/>
    <col min="2" max="3" width="5" bestFit="1" customWidth="1"/>
    <col min="4" max="4" width="9.7109375" bestFit="1" customWidth="1"/>
    <col min="5" max="5" width="10.7109375" customWidth="1"/>
    <col min="6" max="6" width="11.28515625" customWidth="1"/>
    <col min="7" max="7" width="4" style="3" customWidth="1"/>
  </cols>
  <sheetData>
    <row r="2" spans="1:6" x14ac:dyDescent="0.25">
      <c r="A2" t="s">
        <v>563</v>
      </c>
    </row>
    <row r="3" spans="1:6" x14ac:dyDescent="0.25">
      <c r="B3" t="s">
        <v>0</v>
      </c>
      <c r="C3" t="s">
        <v>1</v>
      </c>
      <c r="D3" t="s">
        <v>2</v>
      </c>
      <c r="E3" t="s">
        <v>3</v>
      </c>
      <c r="F3" t="s">
        <v>929</v>
      </c>
    </row>
    <row r="4" spans="1:6" x14ac:dyDescent="0.25">
      <c r="A4" t="s">
        <v>564</v>
      </c>
      <c r="B4" t="s">
        <v>565</v>
      </c>
      <c r="C4" t="s">
        <v>5</v>
      </c>
      <c r="D4" t="s">
        <v>566</v>
      </c>
      <c r="E4" s="3">
        <v>27.62</v>
      </c>
      <c r="F4" s="3">
        <f t="shared" ref="F4:F9" si="0">+E4*stddisc</f>
        <v>27.62</v>
      </c>
    </row>
    <row r="5" spans="1:6" x14ac:dyDescent="0.25">
      <c r="A5" t="s">
        <v>567</v>
      </c>
      <c r="B5" t="s">
        <v>568</v>
      </c>
      <c r="C5" t="s">
        <v>569</v>
      </c>
      <c r="D5" t="s">
        <v>570</v>
      </c>
      <c r="E5" s="3">
        <v>1099.1352242157</v>
      </c>
      <c r="F5" s="3">
        <f t="shared" si="0"/>
        <v>1099.1352242157</v>
      </c>
    </row>
    <row r="6" spans="1:6" x14ac:dyDescent="0.25">
      <c r="A6" t="s">
        <v>571</v>
      </c>
      <c r="B6" t="s">
        <v>565</v>
      </c>
      <c r="C6" t="s">
        <v>5</v>
      </c>
      <c r="D6" t="s">
        <v>572</v>
      </c>
      <c r="E6" s="3">
        <v>20.41</v>
      </c>
      <c r="F6" s="3">
        <f t="shared" si="0"/>
        <v>20.41</v>
      </c>
    </row>
    <row r="7" spans="1:6" x14ac:dyDescent="0.25">
      <c r="A7" t="s">
        <v>573</v>
      </c>
      <c r="B7" t="s">
        <v>568</v>
      </c>
      <c r="C7" t="s">
        <v>569</v>
      </c>
      <c r="D7" t="s">
        <v>574</v>
      </c>
      <c r="E7" s="3">
        <v>811.27</v>
      </c>
      <c r="F7" s="3">
        <f t="shared" si="0"/>
        <v>811.27</v>
      </c>
    </row>
    <row r="8" spans="1:6" x14ac:dyDescent="0.25">
      <c r="A8" t="s">
        <v>575</v>
      </c>
      <c r="B8" t="s">
        <v>9</v>
      </c>
      <c r="C8" t="s">
        <v>10</v>
      </c>
      <c r="D8" t="s">
        <v>576</v>
      </c>
      <c r="E8" s="3">
        <v>2.2102317023500002</v>
      </c>
      <c r="F8" s="3">
        <f t="shared" si="0"/>
        <v>2.2102317023500002</v>
      </c>
    </row>
    <row r="9" spans="1:6" x14ac:dyDescent="0.25">
      <c r="A9" t="s">
        <v>577</v>
      </c>
      <c r="B9" t="s">
        <v>578</v>
      </c>
      <c r="C9" t="s">
        <v>5</v>
      </c>
      <c r="D9" t="s">
        <v>579</v>
      </c>
      <c r="E9" s="3">
        <v>0.8450885920750002</v>
      </c>
      <c r="F9" s="3">
        <f t="shared" si="0"/>
        <v>0.8450885920750002</v>
      </c>
    </row>
    <row r="10" spans="1:6" x14ac:dyDescent="0.25">
      <c r="E10" s="3"/>
      <c r="F10" s="3"/>
    </row>
    <row r="11" spans="1:6" x14ac:dyDescent="0.25">
      <c r="A11" t="s">
        <v>580</v>
      </c>
      <c r="E11" s="3"/>
      <c r="F11" s="3"/>
    </row>
    <row r="12" spans="1:6" x14ac:dyDescent="0.25">
      <c r="B12" t="s">
        <v>211</v>
      </c>
      <c r="C12" t="s">
        <v>1</v>
      </c>
      <c r="D12" t="s">
        <v>2</v>
      </c>
      <c r="E12" t="s">
        <v>3</v>
      </c>
      <c r="F12" t="s">
        <v>929</v>
      </c>
    </row>
    <row r="13" spans="1:6" x14ac:dyDescent="0.25">
      <c r="A13" t="s">
        <v>903</v>
      </c>
      <c r="B13" t="s">
        <v>213</v>
      </c>
      <c r="C13" t="s">
        <v>5</v>
      </c>
      <c r="D13" t="s">
        <v>918</v>
      </c>
      <c r="E13" s="3">
        <v>5.8688395395000006</v>
      </c>
      <c r="F13" s="3">
        <f>+E13*stddisc</f>
        <v>5.8688395395000006</v>
      </c>
    </row>
    <row r="14" spans="1:6" x14ac:dyDescent="0.25">
      <c r="A14" t="s">
        <v>948</v>
      </c>
      <c r="B14" t="s">
        <v>213</v>
      </c>
      <c r="C14" t="s">
        <v>5</v>
      </c>
      <c r="D14" t="s">
        <v>947</v>
      </c>
      <c r="E14" s="3">
        <v>8.93</v>
      </c>
      <c r="F14" s="3">
        <f>+E14*stddisc</f>
        <v>8.93</v>
      </c>
    </row>
    <row r="15" spans="1:6" x14ac:dyDescent="0.25">
      <c r="A15" t="s">
        <v>581</v>
      </c>
      <c r="B15" t="s">
        <v>273</v>
      </c>
      <c r="C15" t="s">
        <v>5</v>
      </c>
      <c r="D15" t="s">
        <v>582</v>
      </c>
      <c r="E15" s="3">
        <v>23.597473763325002</v>
      </c>
      <c r="F15" s="3">
        <f>+E15*stddisc</f>
        <v>23.597473763325002</v>
      </c>
    </row>
    <row r="16" spans="1:6" x14ac:dyDescent="0.25">
      <c r="E16" s="3"/>
      <c r="F16" s="3"/>
    </row>
    <row r="17" spans="1:6" x14ac:dyDescent="0.25">
      <c r="A17" t="s">
        <v>583</v>
      </c>
      <c r="E17" s="3"/>
      <c r="F17" s="3"/>
    </row>
    <row r="18" spans="1:6" x14ac:dyDescent="0.25">
      <c r="B18" t="s">
        <v>0</v>
      </c>
      <c r="C18" t="s">
        <v>1</v>
      </c>
      <c r="D18" t="s">
        <v>2</v>
      </c>
      <c r="E18" t="s">
        <v>3</v>
      </c>
      <c r="F18" t="s">
        <v>929</v>
      </c>
    </row>
    <row r="19" spans="1:6" x14ac:dyDescent="0.25">
      <c r="A19" t="s">
        <v>584</v>
      </c>
      <c r="B19" t="s">
        <v>7</v>
      </c>
      <c r="C19" t="s">
        <v>5</v>
      </c>
      <c r="D19" t="s">
        <v>585</v>
      </c>
      <c r="E19" s="3">
        <v>265.08</v>
      </c>
      <c r="F19" s="3">
        <f>+E19*stddisc</f>
        <v>265.08</v>
      </c>
    </row>
    <row r="20" spans="1:6" x14ac:dyDescent="0.25">
      <c r="A20" t="s">
        <v>586</v>
      </c>
      <c r="B20" t="s">
        <v>9</v>
      </c>
      <c r="C20" t="s">
        <v>10</v>
      </c>
      <c r="D20" t="s">
        <v>587</v>
      </c>
      <c r="E20" s="3">
        <v>16.004677797605002</v>
      </c>
      <c r="F20" s="3">
        <f>+E20*stddisc</f>
        <v>16.004677797605002</v>
      </c>
    </row>
    <row r="21" spans="1:6" x14ac:dyDescent="0.25">
      <c r="A21" t="s">
        <v>904</v>
      </c>
      <c r="B21" t="s">
        <v>905</v>
      </c>
      <c r="C21" t="s">
        <v>5</v>
      </c>
      <c r="D21" t="s">
        <v>906</v>
      </c>
      <c r="E21" s="3">
        <v>1.7983193620000002</v>
      </c>
      <c r="F21" s="3">
        <f>+E21*stddisc</f>
        <v>1.7983193620000002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theme="7"/>
  </sheetPr>
  <dimension ref="A2:L37"/>
  <sheetViews>
    <sheetView topLeftCell="D1" zoomScaleNormal="100" workbookViewId="0">
      <selection activeCell="D1" sqref="D1"/>
    </sheetView>
  </sheetViews>
  <sheetFormatPr defaultRowHeight="15" x14ac:dyDescent="0.25"/>
  <cols>
    <col min="1" max="1" width="52.7109375" bestFit="1" customWidth="1"/>
    <col min="2" max="2" width="4.5703125" bestFit="1" customWidth="1"/>
    <col min="3" max="3" width="5" bestFit="1" customWidth="1"/>
    <col min="4" max="4" width="28.85546875" bestFit="1" customWidth="1"/>
    <col min="5" max="5" width="8.85546875" customWidth="1"/>
    <col min="6" max="6" width="13.28515625" bestFit="1" customWidth="1"/>
    <col min="7" max="7" width="2.28515625" customWidth="1"/>
    <col min="8" max="8" width="7.140625" customWidth="1"/>
    <col min="9" max="9" width="9.5703125" bestFit="1" customWidth="1"/>
    <col min="10" max="10" width="9" customWidth="1"/>
    <col min="11" max="11" width="13.28515625" bestFit="1" customWidth="1"/>
    <col min="12" max="12" width="2.140625" style="3" customWidth="1"/>
  </cols>
  <sheetData>
    <row r="2" spans="1:11" x14ac:dyDescent="0.25">
      <c r="A2" t="s">
        <v>588</v>
      </c>
      <c r="D2" t="s">
        <v>19</v>
      </c>
      <c r="I2" t="s">
        <v>20</v>
      </c>
    </row>
    <row r="3" spans="1:11" x14ac:dyDescent="0.25">
      <c r="B3" t="s">
        <v>0</v>
      </c>
      <c r="C3" t="s">
        <v>1</v>
      </c>
      <c r="D3" t="s">
        <v>2</v>
      </c>
      <c r="E3" t="s">
        <v>3</v>
      </c>
      <c r="F3" t="s">
        <v>929</v>
      </c>
      <c r="I3" t="s">
        <v>2</v>
      </c>
      <c r="J3" t="s">
        <v>3</v>
      </c>
      <c r="K3" t="str">
        <f>F3</f>
        <v>Dealer Price</v>
      </c>
    </row>
    <row r="4" spans="1:11" x14ac:dyDescent="0.25">
      <c r="A4" t="s">
        <v>588</v>
      </c>
      <c r="B4" t="s">
        <v>4</v>
      </c>
      <c r="C4" t="s">
        <v>5</v>
      </c>
      <c r="D4" t="s">
        <v>85</v>
      </c>
      <c r="E4" s="3">
        <v>210.68708668577503</v>
      </c>
      <c r="F4" s="3">
        <f>+E4*stddisc</f>
        <v>210.68708668577503</v>
      </c>
      <c r="G4" s="3"/>
      <c r="I4" t="s">
        <v>88</v>
      </c>
      <c r="J4" s="3">
        <v>210.68708668577503</v>
      </c>
      <c r="K4" s="3">
        <f>+J4*stddisc</f>
        <v>210.68708668577503</v>
      </c>
    </row>
    <row r="5" spans="1:11" x14ac:dyDescent="0.25">
      <c r="B5" t="s">
        <v>7</v>
      </c>
      <c r="C5" t="s">
        <v>5</v>
      </c>
      <c r="D5" t="s">
        <v>86</v>
      </c>
      <c r="E5" s="3">
        <v>263.35000000000002</v>
      </c>
      <c r="F5" s="3">
        <f>+E5*stddisc</f>
        <v>263.35000000000002</v>
      </c>
      <c r="G5" s="3"/>
      <c r="I5" t="s">
        <v>89</v>
      </c>
      <c r="J5" s="3">
        <v>263.35000000000002</v>
      </c>
      <c r="K5" s="3">
        <f>+J5*stddisc</f>
        <v>263.35000000000002</v>
      </c>
    </row>
    <row r="6" spans="1:11" x14ac:dyDescent="0.25">
      <c r="B6" t="s">
        <v>9</v>
      </c>
      <c r="C6" t="s">
        <v>10</v>
      </c>
      <c r="D6" t="s">
        <v>87</v>
      </c>
      <c r="E6" s="3">
        <v>18.175905411090003</v>
      </c>
      <c r="F6" s="3">
        <f>+E6*stddisc</f>
        <v>18.175905411090003</v>
      </c>
      <c r="G6" s="3"/>
      <c r="I6" t="s">
        <v>90</v>
      </c>
      <c r="J6" s="3">
        <v>18.175905411090003</v>
      </c>
      <c r="K6" s="3">
        <f>+J6*stddisc</f>
        <v>18.175905411090003</v>
      </c>
    </row>
    <row r="7" spans="1:11" x14ac:dyDescent="0.25">
      <c r="E7" s="3"/>
      <c r="F7" s="3"/>
      <c r="J7" s="3"/>
      <c r="K7" s="3"/>
    </row>
    <row r="8" spans="1:11" x14ac:dyDescent="0.25">
      <c r="D8" t="s">
        <v>589</v>
      </c>
      <c r="E8" s="3"/>
      <c r="F8" s="3"/>
      <c r="I8" t="s">
        <v>52</v>
      </c>
      <c r="J8" s="3"/>
      <c r="K8" s="3"/>
    </row>
    <row r="9" spans="1:11" x14ac:dyDescent="0.25">
      <c r="B9" t="s">
        <v>0</v>
      </c>
      <c r="C9" t="s">
        <v>1</v>
      </c>
      <c r="D9" t="s">
        <v>2</v>
      </c>
      <c r="E9" t="s">
        <v>3</v>
      </c>
      <c r="F9" s="3" t="str">
        <f>F3</f>
        <v>Dealer Price</v>
      </c>
      <c r="I9" t="s">
        <v>2</v>
      </c>
      <c r="J9" t="s">
        <v>3</v>
      </c>
      <c r="K9" s="3" t="str">
        <f>F3</f>
        <v>Dealer Price</v>
      </c>
    </row>
    <row r="10" spans="1:11" x14ac:dyDescent="0.25">
      <c r="A10" t="s">
        <v>588</v>
      </c>
      <c r="B10" t="s">
        <v>4</v>
      </c>
      <c r="C10" t="s">
        <v>5</v>
      </c>
      <c r="D10" t="s">
        <v>238</v>
      </c>
      <c r="E10" s="3" t="s">
        <v>238</v>
      </c>
      <c r="F10" s="3" t="s">
        <v>238</v>
      </c>
      <c r="G10" s="3"/>
      <c r="I10" t="s">
        <v>95</v>
      </c>
      <c r="J10" s="3">
        <v>210.68708668577503</v>
      </c>
      <c r="K10" s="3">
        <f>J10*stddisc</f>
        <v>210.68708668577503</v>
      </c>
    </row>
    <row r="11" spans="1:11" x14ac:dyDescent="0.25">
      <c r="B11" t="s">
        <v>7</v>
      </c>
      <c r="C11" t="s">
        <v>5</v>
      </c>
      <c r="D11" t="s">
        <v>590</v>
      </c>
      <c r="E11" s="3">
        <v>254.78</v>
      </c>
      <c r="F11" s="3">
        <f>E11*stddisc</f>
        <v>254.78</v>
      </c>
      <c r="G11" s="3"/>
      <c r="I11" t="s">
        <v>96</v>
      </c>
      <c r="J11" s="3">
        <v>263.35000000000002</v>
      </c>
      <c r="K11" s="3">
        <f>J11*stddisc</f>
        <v>263.35000000000002</v>
      </c>
    </row>
    <row r="12" spans="1:11" x14ac:dyDescent="0.25">
      <c r="B12" t="s">
        <v>9</v>
      </c>
      <c r="C12" t="s">
        <v>10</v>
      </c>
      <c r="D12" t="s">
        <v>591</v>
      </c>
      <c r="E12" s="3">
        <v>22.98</v>
      </c>
      <c r="F12" s="3">
        <f>E12*stddisc</f>
        <v>22.98</v>
      </c>
      <c r="G12" s="3"/>
      <c r="I12" t="s">
        <v>97</v>
      </c>
      <c r="J12" s="3">
        <v>18.175905411090003</v>
      </c>
      <c r="K12" s="3">
        <f>J12*stddisc</f>
        <v>18.175905411090003</v>
      </c>
    </row>
    <row r="13" spans="1:11" x14ac:dyDescent="0.25">
      <c r="E13" s="3"/>
      <c r="F13" s="3"/>
    </row>
    <row r="14" spans="1:11" x14ac:dyDescent="0.25">
      <c r="A14" t="s">
        <v>592</v>
      </c>
      <c r="D14" t="s">
        <v>536</v>
      </c>
      <c r="E14" s="3"/>
      <c r="F14" s="3"/>
    </row>
    <row r="15" spans="1:11" x14ac:dyDescent="0.25">
      <c r="A15" t="s">
        <v>593</v>
      </c>
      <c r="B15" t="s">
        <v>0</v>
      </c>
      <c r="C15" t="s">
        <v>1</v>
      </c>
      <c r="D15" t="s">
        <v>2</v>
      </c>
      <c r="E15" t="s">
        <v>3</v>
      </c>
      <c r="F15" s="3" t="str">
        <f>F3</f>
        <v>Dealer Price</v>
      </c>
    </row>
    <row r="16" spans="1:11" x14ac:dyDescent="0.25">
      <c r="A16" t="s">
        <v>594</v>
      </c>
      <c r="B16" t="s">
        <v>7</v>
      </c>
      <c r="C16" t="s">
        <v>5</v>
      </c>
      <c r="D16" t="s">
        <v>849</v>
      </c>
      <c r="E16" s="3">
        <v>203.37</v>
      </c>
      <c r="F16" s="3">
        <f>E16*stddisc</f>
        <v>203.37</v>
      </c>
      <c r="G16" s="3"/>
    </row>
    <row r="17" spans="1:7" x14ac:dyDescent="0.25">
      <c r="B17" t="s">
        <v>9</v>
      </c>
      <c r="C17" t="s">
        <v>595</v>
      </c>
      <c r="D17" t="s">
        <v>539</v>
      </c>
      <c r="E17" s="3">
        <v>13.222386125234999</v>
      </c>
      <c r="F17" s="3">
        <f>E17*stddisc</f>
        <v>13.222386125234999</v>
      </c>
      <c r="G17" s="3"/>
    </row>
    <row r="18" spans="1:7" x14ac:dyDescent="0.25">
      <c r="E18" s="3"/>
      <c r="F18" s="3"/>
    </row>
    <row r="19" spans="1:7" x14ac:dyDescent="0.25">
      <c r="A19" t="s">
        <v>596</v>
      </c>
      <c r="D19" t="s">
        <v>597</v>
      </c>
      <c r="E19" s="3"/>
      <c r="F19" s="3"/>
    </row>
    <row r="20" spans="1:7" x14ac:dyDescent="0.25">
      <c r="A20" t="s">
        <v>593</v>
      </c>
      <c r="B20" t="s">
        <v>0</v>
      </c>
      <c r="C20" t="s">
        <v>1</v>
      </c>
      <c r="D20" t="s">
        <v>2</v>
      </c>
      <c r="E20" t="s">
        <v>3</v>
      </c>
      <c r="F20" s="3" t="str">
        <f>F15</f>
        <v>Dealer Price</v>
      </c>
    </row>
    <row r="21" spans="1:7" x14ac:dyDescent="0.25">
      <c r="A21" t="s">
        <v>598</v>
      </c>
      <c r="B21" t="s">
        <v>7</v>
      </c>
      <c r="C21" t="s">
        <v>5</v>
      </c>
      <c r="D21" t="s">
        <v>919</v>
      </c>
      <c r="E21" s="3">
        <v>227.75787624569006</v>
      </c>
      <c r="F21" s="3">
        <f>E21*stddisc</f>
        <v>227.75787624569006</v>
      </c>
      <c r="G21" s="3"/>
    </row>
    <row r="22" spans="1:7" x14ac:dyDescent="0.25">
      <c r="B22" t="s">
        <v>9</v>
      </c>
      <c r="C22" t="s">
        <v>595</v>
      </c>
      <c r="D22" t="s">
        <v>599</v>
      </c>
      <c r="E22" s="3">
        <v>14.795551042790002</v>
      </c>
      <c r="F22" s="3">
        <f>E22*stddisc</f>
        <v>14.795551042790002</v>
      </c>
      <c r="G22" s="3"/>
    </row>
    <row r="23" spans="1:7" x14ac:dyDescent="0.25">
      <c r="E23" s="3"/>
      <c r="F23" s="3"/>
    </row>
    <row r="24" spans="1:7" x14ac:dyDescent="0.25">
      <c r="A24" t="s">
        <v>600</v>
      </c>
      <c r="D24" t="s">
        <v>601</v>
      </c>
      <c r="E24" s="3"/>
      <c r="F24" s="3"/>
    </row>
    <row r="25" spans="1:7" x14ac:dyDescent="0.25">
      <c r="B25" t="s">
        <v>211</v>
      </c>
      <c r="C25" t="s">
        <v>1</v>
      </c>
      <c r="D25" t="s">
        <v>2</v>
      </c>
      <c r="E25" t="s">
        <v>3</v>
      </c>
      <c r="F25" s="3" t="str">
        <f>F20</f>
        <v>Dealer Price</v>
      </c>
    </row>
    <row r="26" spans="1:7" x14ac:dyDescent="0.25">
      <c r="A26" t="s">
        <v>602</v>
      </c>
      <c r="B26" t="s">
        <v>213</v>
      </c>
      <c r="C26" t="s">
        <v>5</v>
      </c>
      <c r="D26" t="s">
        <v>603</v>
      </c>
      <c r="E26" s="3">
        <v>22.6</v>
      </c>
      <c r="F26" s="3">
        <f>E26*stddisc</f>
        <v>22.6</v>
      </c>
      <c r="G26" s="3"/>
    </row>
    <row r="27" spans="1:7" x14ac:dyDescent="0.25">
      <c r="A27" t="s">
        <v>604</v>
      </c>
      <c r="B27" t="s">
        <v>273</v>
      </c>
      <c r="C27" t="s">
        <v>5</v>
      </c>
      <c r="D27" t="s">
        <v>605</v>
      </c>
      <c r="E27" s="3">
        <v>25.833708191585007</v>
      </c>
      <c r="F27" s="3">
        <f>E27*stddisc</f>
        <v>25.833708191585007</v>
      </c>
      <c r="G27" s="3"/>
    </row>
    <row r="28" spans="1:7" x14ac:dyDescent="0.25">
      <c r="E28" s="3"/>
      <c r="F28" s="3"/>
    </row>
    <row r="29" spans="1:7" x14ac:dyDescent="0.25">
      <c r="A29" t="s">
        <v>606</v>
      </c>
      <c r="D29" t="s">
        <v>607</v>
      </c>
      <c r="E29" s="3"/>
      <c r="F29" s="3"/>
    </row>
    <row r="30" spans="1:7" x14ac:dyDescent="0.25">
      <c r="B30" t="s">
        <v>211</v>
      </c>
      <c r="C30" t="s">
        <v>1</v>
      </c>
      <c r="D30" t="s">
        <v>2</v>
      </c>
      <c r="E30" t="s">
        <v>3</v>
      </c>
      <c r="F30" s="3" t="str">
        <f>F25</f>
        <v>Dealer Price</v>
      </c>
    </row>
    <row r="31" spans="1:7" x14ac:dyDescent="0.25">
      <c r="A31" t="s">
        <v>608</v>
      </c>
      <c r="B31" t="s">
        <v>275</v>
      </c>
      <c r="C31" t="s">
        <v>5</v>
      </c>
      <c r="D31" t="s">
        <v>609</v>
      </c>
      <c r="E31" s="3">
        <v>41.95</v>
      </c>
      <c r="F31" s="3">
        <f t="shared" ref="F31:F37" si="0">E31*stddisc</f>
        <v>41.95</v>
      </c>
      <c r="G31" s="3"/>
    </row>
    <row r="32" spans="1:7" x14ac:dyDescent="0.25">
      <c r="A32" t="s">
        <v>610</v>
      </c>
      <c r="B32" t="s">
        <v>277</v>
      </c>
      <c r="C32" t="s">
        <v>5</v>
      </c>
      <c r="D32" t="s">
        <v>611</v>
      </c>
      <c r="E32" s="3">
        <v>57.596037890649995</v>
      </c>
      <c r="F32" s="3">
        <f t="shared" si="0"/>
        <v>57.596037890649995</v>
      </c>
      <c r="G32" s="3"/>
    </row>
    <row r="33" spans="1:7" x14ac:dyDescent="0.25">
      <c r="A33" t="s">
        <v>612</v>
      </c>
      <c r="B33" t="s">
        <v>280</v>
      </c>
      <c r="C33" t="s">
        <v>5</v>
      </c>
      <c r="D33" t="s">
        <v>613</v>
      </c>
      <c r="E33" s="3">
        <v>21.920297942129999</v>
      </c>
      <c r="F33" s="3">
        <f t="shared" si="0"/>
        <v>21.920297942129999</v>
      </c>
      <c r="G33" s="3"/>
    </row>
    <row r="34" spans="1:7" x14ac:dyDescent="0.25">
      <c r="A34" t="s">
        <v>614</v>
      </c>
      <c r="B34" t="s">
        <v>283</v>
      </c>
      <c r="C34" t="s">
        <v>5</v>
      </c>
      <c r="D34" t="s">
        <v>615</v>
      </c>
      <c r="E34" s="3">
        <v>19</v>
      </c>
      <c r="F34" s="3">
        <f t="shared" si="0"/>
        <v>19</v>
      </c>
      <c r="G34" s="3"/>
    </row>
    <row r="35" spans="1:7" x14ac:dyDescent="0.25">
      <c r="A35" t="s">
        <v>616</v>
      </c>
      <c r="B35" t="s">
        <v>360</v>
      </c>
      <c r="C35" t="s">
        <v>5</v>
      </c>
      <c r="D35" t="s">
        <v>963</v>
      </c>
      <c r="E35" s="3">
        <v>12.76</v>
      </c>
      <c r="F35" s="3">
        <f t="shared" si="0"/>
        <v>12.76</v>
      </c>
      <c r="G35" s="3"/>
    </row>
    <row r="36" spans="1:7" x14ac:dyDescent="0.25">
      <c r="A36" t="s">
        <v>617</v>
      </c>
      <c r="B36" t="s">
        <v>363</v>
      </c>
      <c r="C36" t="s">
        <v>5</v>
      </c>
      <c r="D36" t="s">
        <v>964</v>
      </c>
      <c r="E36" s="3">
        <v>16.472726863984999</v>
      </c>
      <c r="F36" s="3">
        <f t="shared" si="0"/>
        <v>16.472726863984999</v>
      </c>
      <c r="G36" s="3"/>
    </row>
    <row r="37" spans="1:7" x14ac:dyDescent="0.25">
      <c r="A37" t="s">
        <v>618</v>
      </c>
      <c r="B37" t="s">
        <v>619</v>
      </c>
      <c r="C37" t="s">
        <v>5</v>
      </c>
      <c r="D37" t="s">
        <v>620</v>
      </c>
      <c r="E37" s="3">
        <v>84.59</v>
      </c>
      <c r="F37" s="3">
        <f t="shared" si="0"/>
        <v>84.59</v>
      </c>
      <c r="G37" s="3"/>
    </row>
  </sheetData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7"/>
  </sheetPr>
  <dimension ref="A2:L26"/>
  <sheetViews>
    <sheetView topLeftCell="B4" zoomScaleNormal="100" workbookViewId="0">
      <selection activeCell="C28" sqref="C28"/>
    </sheetView>
  </sheetViews>
  <sheetFormatPr defaultRowHeight="15" x14ac:dyDescent="0.25"/>
  <cols>
    <col min="1" max="1" width="53" bestFit="1" customWidth="1"/>
    <col min="2" max="2" width="5" bestFit="1" customWidth="1"/>
    <col min="3" max="4" width="10.28515625" bestFit="1" customWidth="1"/>
    <col min="5" max="6" width="11.7109375" customWidth="1"/>
    <col min="7" max="7" width="2.5703125" customWidth="1"/>
    <col min="8" max="8" width="3.140625" customWidth="1"/>
    <col min="9" max="9" width="10.42578125" bestFit="1" customWidth="1"/>
    <col min="10" max="11" width="11.7109375" customWidth="1"/>
    <col min="12" max="12" width="2.28515625" style="3" customWidth="1"/>
  </cols>
  <sheetData>
    <row r="2" spans="1:11" x14ac:dyDescent="0.25">
      <c r="A2" t="s">
        <v>621</v>
      </c>
      <c r="D2" t="s">
        <v>19</v>
      </c>
      <c r="I2" t="s">
        <v>20</v>
      </c>
    </row>
    <row r="3" spans="1:11" x14ac:dyDescent="0.25">
      <c r="C3" t="s">
        <v>1</v>
      </c>
      <c r="D3" t="s">
        <v>2</v>
      </c>
      <c r="E3" t="s">
        <v>3</v>
      </c>
      <c r="F3" t="s">
        <v>929</v>
      </c>
      <c r="I3" t="s">
        <v>2</v>
      </c>
      <c r="J3" t="s">
        <v>3</v>
      </c>
      <c r="K3" t="s">
        <v>929</v>
      </c>
    </row>
    <row r="4" spans="1:11" x14ac:dyDescent="0.25">
      <c r="A4" t="s">
        <v>622</v>
      </c>
      <c r="C4" t="s">
        <v>5</v>
      </c>
      <c r="D4" t="s">
        <v>623</v>
      </c>
      <c r="E4" s="3">
        <v>421.62119926769503</v>
      </c>
      <c r="F4" s="3">
        <f>+E4*stddisc</f>
        <v>421.62119926769503</v>
      </c>
      <c r="G4" s="3"/>
      <c r="I4" t="s">
        <v>626</v>
      </c>
      <c r="J4" s="3">
        <v>421.62119926769503</v>
      </c>
      <c r="K4" s="3">
        <f>+J4*stddisc</f>
        <v>421.62119926769503</v>
      </c>
    </row>
    <row r="5" spans="1:11" x14ac:dyDescent="0.25">
      <c r="A5" t="s">
        <v>624</v>
      </c>
      <c r="C5" t="s">
        <v>5</v>
      </c>
      <c r="D5" t="s">
        <v>625</v>
      </c>
      <c r="E5" s="3">
        <v>487.86</v>
      </c>
      <c r="F5" s="3">
        <f>+E5*stddisc</f>
        <v>487.86</v>
      </c>
      <c r="G5" s="3"/>
      <c r="I5" t="s">
        <v>627</v>
      </c>
      <c r="J5" s="3">
        <v>487.86</v>
      </c>
      <c r="K5" s="3">
        <f>+J5*stddisc</f>
        <v>487.86</v>
      </c>
    </row>
    <row r="6" spans="1:11" x14ac:dyDescent="0.25">
      <c r="E6" s="3"/>
      <c r="F6" s="3"/>
      <c r="J6" s="3"/>
      <c r="K6" s="3"/>
    </row>
    <row r="7" spans="1:11" x14ac:dyDescent="0.25">
      <c r="D7" t="s">
        <v>41</v>
      </c>
      <c r="E7" s="3"/>
      <c r="F7" s="3"/>
      <c r="I7" t="s">
        <v>52</v>
      </c>
      <c r="J7" s="3"/>
      <c r="K7" s="3"/>
    </row>
    <row r="8" spans="1:11" x14ac:dyDescent="0.25">
      <c r="C8" t="s">
        <v>1</v>
      </c>
      <c r="D8" t="s">
        <v>2</v>
      </c>
      <c r="E8" s="3" t="s">
        <v>3</v>
      </c>
      <c r="F8" t="s">
        <v>929</v>
      </c>
      <c r="I8" t="s">
        <v>2</v>
      </c>
      <c r="J8" s="3" t="s">
        <v>3</v>
      </c>
      <c r="K8" t="s">
        <v>929</v>
      </c>
    </row>
    <row r="9" spans="1:11" x14ac:dyDescent="0.25">
      <c r="A9" t="s">
        <v>622</v>
      </c>
      <c r="C9" t="s">
        <v>5</v>
      </c>
      <c r="D9" t="s">
        <v>628</v>
      </c>
      <c r="E9" s="3">
        <v>421.62119926769503</v>
      </c>
      <c r="F9" s="3">
        <f>+E9*stddisc</f>
        <v>421.62119926769503</v>
      </c>
      <c r="G9" s="3"/>
      <c r="I9" t="s">
        <v>630</v>
      </c>
      <c r="J9" s="3">
        <v>421.62119926769503</v>
      </c>
      <c r="K9" s="3">
        <f>+J9*stddisc</f>
        <v>421.62119926769503</v>
      </c>
    </row>
    <row r="10" spans="1:11" x14ac:dyDescent="0.25">
      <c r="A10" t="s">
        <v>624</v>
      </c>
      <c r="C10" t="s">
        <v>5</v>
      </c>
      <c r="D10" t="s">
        <v>629</v>
      </c>
      <c r="E10" s="3">
        <v>487.86</v>
      </c>
      <c r="F10" s="3">
        <f>+E10*stddisc</f>
        <v>487.86</v>
      </c>
      <c r="G10" s="3"/>
      <c r="I10" t="s">
        <v>631</v>
      </c>
      <c r="J10" s="3">
        <v>487.86</v>
      </c>
      <c r="K10" s="3">
        <f>+J10*stddisc</f>
        <v>487.86</v>
      </c>
    </row>
    <row r="11" spans="1:11" x14ac:dyDescent="0.25">
      <c r="E11" s="3"/>
      <c r="F11" s="3"/>
    </row>
    <row r="12" spans="1:11" x14ac:dyDescent="0.25">
      <c r="A12" t="s">
        <v>632</v>
      </c>
      <c r="E12" s="3"/>
      <c r="F12" s="3"/>
    </row>
    <row r="13" spans="1:11" x14ac:dyDescent="0.25">
      <c r="B13" t="s">
        <v>211</v>
      </c>
      <c r="C13" t="s">
        <v>1</v>
      </c>
      <c r="D13" t="s">
        <v>2</v>
      </c>
      <c r="E13" s="3" t="s">
        <v>3</v>
      </c>
      <c r="F13" t="s">
        <v>929</v>
      </c>
    </row>
    <row r="14" spans="1:11" x14ac:dyDescent="0.25">
      <c r="A14" t="s">
        <v>633</v>
      </c>
      <c r="B14" t="s">
        <v>213</v>
      </c>
      <c r="C14" t="s">
        <v>5</v>
      </c>
      <c r="D14" t="s">
        <v>634</v>
      </c>
      <c r="E14" s="3">
        <v>16.654745945355003</v>
      </c>
      <c r="F14" s="3">
        <f t="shared" ref="F14:F26" si="0">+E14*stddisc</f>
        <v>16.654745945355003</v>
      </c>
      <c r="G14" s="3"/>
    </row>
    <row r="15" spans="1:11" x14ac:dyDescent="0.25">
      <c r="A15" t="s">
        <v>635</v>
      </c>
      <c r="B15" t="s">
        <v>273</v>
      </c>
      <c r="C15" t="s">
        <v>5</v>
      </c>
      <c r="D15" t="s">
        <v>636</v>
      </c>
      <c r="E15" s="3">
        <v>19.033995366119999</v>
      </c>
      <c r="F15" s="3">
        <f t="shared" si="0"/>
        <v>19.033995366119999</v>
      </c>
      <c r="G15" s="3"/>
    </row>
    <row r="16" spans="1:11" x14ac:dyDescent="0.25">
      <c r="A16" t="s">
        <v>637</v>
      </c>
      <c r="B16" t="s">
        <v>275</v>
      </c>
      <c r="C16" t="s">
        <v>5</v>
      </c>
      <c r="D16" t="s">
        <v>638</v>
      </c>
      <c r="E16" s="3">
        <v>27.328864931410003</v>
      </c>
      <c r="F16" s="3">
        <f t="shared" si="0"/>
        <v>27.328864931410003</v>
      </c>
      <c r="G16" s="3"/>
    </row>
    <row r="17" spans="1:7" x14ac:dyDescent="0.25">
      <c r="A17" t="s">
        <v>639</v>
      </c>
      <c r="B17" t="s">
        <v>277</v>
      </c>
      <c r="C17" t="s">
        <v>640</v>
      </c>
      <c r="D17" t="s">
        <v>641</v>
      </c>
      <c r="E17" s="3">
        <v>157.55285000000001</v>
      </c>
      <c r="F17" s="3">
        <f t="shared" si="0"/>
        <v>157.55285000000001</v>
      </c>
      <c r="G17" s="3"/>
    </row>
    <row r="18" spans="1:7" x14ac:dyDescent="0.25">
      <c r="A18" t="s">
        <v>642</v>
      </c>
      <c r="B18" t="s">
        <v>280</v>
      </c>
      <c r="C18" t="s">
        <v>5</v>
      </c>
      <c r="D18" t="s">
        <v>643</v>
      </c>
      <c r="E18" s="3">
        <v>49.638750000000002</v>
      </c>
      <c r="F18" s="3">
        <f t="shared" si="0"/>
        <v>49.638750000000002</v>
      </c>
      <c r="G18" s="3"/>
    </row>
    <row r="19" spans="1:7" x14ac:dyDescent="0.25">
      <c r="A19" t="s">
        <v>644</v>
      </c>
      <c r="B19" t="s">
        <v>283</v>
      </c>
      <c r="C19" t="s">
        <v>5</v>
      </c>
      <c r="D19" t="s">
        <v>645</v>
      </c>
      <c r="E19" s="3">
        <v>52.057457271820006</v>
      </c>
      <c r="F19" s="3">
        <f t="shared" si="0"/>
        <v>52.057457271820006</v>
      </c>
      <c r="G19" s="3"/>
    </row>
    <row r="20" spans="1:7" x14ac:dyDescent="0.25">
      <c r="A20" t="s">
        <v>646</v>
      </c>
      <c r="B20" t="s">
        <v>360</v>
      </c>
      <c r="C20" t="s">
        <v>5</v>
      </c>
      <c r="D20" t="s">
        <v>647</v>
      </c>
      <c r="E20" s="3">
        <v>24.013517377884998</v>
      </c>
      <c r="F20" s="3">
        <f t="shared" si="0"/>
        <v>24.013517377884998</v>
      </c>
      <c r="G20" s="3"/>
    </row>
    <row r="21" spans="1:7" x14ac:dyDescent="0.25">
      <c r="A21" t="s">
        <v>648</v>
      </c>
      <c r="B21" t="s">
        <v>360</v>
      </c>
      <c r="C21" t="s">
        <v>5</v>
      </c>
      <c r="D21" t="s">
        <v>649</v>
      </c>
      <c r="E21" s="3">
        <v>11.753232111319999</v>
      </c>
      <c r="F21" s="3">
        <f t="shared" si="0"/>
        <v>11.753232111319999</v>
      </c>
      <c r="G21" s="3"/>
    </row>
    <row r="22" spans="1:7" x14ac:dyDescent="0.25">
      <c r="A22" t="s">
        <v>650</v>
      </c>
      <c r="B22" t="s">
        <v>363</v>
      </c>
      <c r="C22" t="s">
        <v>5</v>
      </c>
      <c r="D22" t="s">
        <v>651</v>
      </c>
      <c r="E22" s="3">
        <v>56.646938394935006</v>
      </c>
      <c r="F22" s="3">
        <f t="shared" si="0"/>
        <v>56.646938394935006</v>
      </c>
      <c r="G22" s="3"/>
    </row>
    <row r="23" spans="1:7" x14ac:dyDescent="0.25">
      <c r="A23" t="s">
        <v>652</v>
      </c>
      <c r="B23" t="s">
        <v>366</v>
      </c>
      <c r="C23" t="s">
        <v>5</v>
      </c>
      <c r="D23" t="s">
        <v>354</v>
      </c>
      <c r="E23" s="3">
        <v>42.410445959209994</v>
      </c>
      <c r="F23" s="3">
        <f t="shared" si="0"/>
        <v>42.410445959209994</v>
      </c>
      <c r="G23" s="3"/>
    </row>
    <row r="24" spans="1:7" x14ac:dyDescent="0.25">
      <c r="A24" t="s">
        <v>653</v>
      </c>
      <c r="B24" t="s">
        <v>399</v>
      </c>
      <c r="C24" t="s">
        <v>5</v>
      </c>
      <c r="D24" t="s">
        <v>372</v>
      </c>
      <c r="E24" s="3">
        <v>42.410445959209994</v>
      </c>
      <c r="F24" s="3">
        <f t="shared" si="0"/>
        <v>42.410445959209994</v>
      </c>
      <c r="G24" s="3"/>
    </row>
    <row r="25" spans="1:7" x14ac:dyDescent="0.25">
      <c r="A25" t="s">
        <v>654</v>
      </c>
      <c r="B25" t="s">
        <v>402</v>
      </c>
      <c r="C25" t="s">
        <v>5</v>
      </c>
      <c r="D25" t="s">
        <v>381</v>
      </c>
      <c r="E25" s="3">
        <v>47.71500204485001</v>
      </c>
      <c r="F25" s="3">
        <f t="shared" si="0"/>
        <v>47.71500204485001</v>
      </c>
      <c r="G25" s="3"/>
    </row>
    <row r="26" spans="1:7" x14ac:dyDescent="0.25">
      <c r="A26" t="s">
        <v>655</v>
      </c>
      <c r="B26" t="s">
        <v>412</v>
      </c>
      <c r="C26" t="s">
        <v>5</v>
      </c>
      <c r="D26" t="s">
        <v>391</v>
      </c>
      <c r="E26" s="3">
        <v>47.71500204485001</v>
      </c>
      <c r="F26" s="3">
        <f t="shared" si="0"/>
        <v>47.71500204485001</v>
      </c>
      <c r="G26" s="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4" tint="0.79998168889431442"/>
  </sheetPr>
  <dimension ref="A2:G36"/>
  <sheetViews>
    <sheetView topLeftCell="A4" zoomScaleNormal="100" workbookViewId="0">
      <selection activeCell="A36" sqref="A36"/>
    </sheetView>
  </sheetViews>
  <sheetFormatPr defaultRowHeight="15" x14ac:dyDescent="0.25"/>
  <cols>
    <col min="1" max="1" width="44.42578125" customWidth="1"/>
    <col min="2" max="2" width="6.85546875" bestFit="1" customWidth="1"/>
    <col min="3" max="3" width="5" bestFit="1" customWidth="1"/>
    <col min="4" max="4" width="15.28515625" bestFit="1" customWidth="1"/>
    <col min="5" max="5" width="8.85546875" customWidth="1"/>
    <col min="6" max="6" width="15" customWidth="1"/>
    <col min="7" max="7" width="3.28515625" style="3" customWidth="1"/>
  </cols>
  <sheetData>
    <row r="2" spans="1:6" x14ac:dyDescent="0.25">
      <c r="A2" t="s">
        <v>656</v>
      </c>
    </row>
    <row r="3" spans="1:6" x14ac:dyDescent="0.25">
      <c r="A3" t="s">
        <v>941</v>
      </c>
    </row>
    <row r="4" spans="1:6" x14ac:dyDescent="0.25">
      <c r="A4" t="s">
        <v>658</v>
      </c>
      <c r="B4" t="s">
        <v>230</v>
      </c>
      <c r="C4" t="s">
        <v>1</v>
      </c>
      <c r="D4" t="s">
        <v>2</v>
      </c>
      <c r="E4" t="s">
        <v>3</v>
      </c>
      <c r="F4" t="s">
        <v>929</v>
      </c>
    </row>
    <row r="5" spans="1:6" x14ac:dyDescent="0.25">
      <c r="A5" t="s">
        <v>659</v>
      </c>
      <c r="B5" t="s">
        <v>660</v>
      </c>
      <c r="C5" t="s">
        <v>5</v>
      </c>
      <c r="D5" t="s">
        <v>661</v>
      </c>
      <c r="E5" s="3">
        <v>203.35431797915501</v>
      </c>
      <c r="F5" s="3">
        <f>E5*infdisc</f>
        <v>203.35431797915501</v>
      </c>
    </row>
    <row r="6" spans="1:6" x14ac:dyDescent="0.25">
      <c r="A6" t="s">
        <v>662</v>
      </c>
      <c r="B6" t="s">
        <v>660</v>
      </c>
      <c r="C6" t="s">
        <v>5</v>
      </c>
      <c r="D6" t="s">
        <v>663</v>
      </c>
      <c r="E6" s="3">
        <v>203.35431797915501</v>
      </c>
      <c r="F6" s="3">
        <f>E6*infdisc</f>
        <v>203.35431797915501</v>
      </c>
    </row>
    <row r="7" spans="1:6" x14ac:dyDescent="0.25">
      <c r="A7" t="s">
        <v>664</v>
      </c>
      <c r="B7" t="s">
        <v>660</v>
      </c>
      <c r="C7" t="s">
        <v>5</v>
      </c>
      <c r="D7" t="s">
        <v>665</v>
      </c>
      <c r="E7" s="3">
        <v>203.35431797915501</v>
      </c>
      <c r="F7" s="3">
        <f>E7*infdisc</f>
        <v>203.35431797915501</v>
      </c>
    </row>
    <row r="8" spans="1:6" x14ac:dyDescent="0.25">
      <c r="E8" s="3"/>
      <c r="F8" s="3"/>
    </row>
    <row r="9" spans="1:6" x14ac:dyDescent="0.25">
      <c r="A9" t="s">
        <v>877</v>
      </c>
      <c r="B9" t="s">
        <v>230</v>
      </c>
      <c r="C9" t="s">
        <v>1</v>
      </c>
      <c r="D9" t="s">
        <v>2</v>
      </c>
      <c r="E9" t="s">
        <v>3</v>
      </c>
      <c r="F9" t="s">
        <v>929</v>
      </c>
    </row>
    <row r="10" spans="1:6" x14ac:dyDescent="0.25">
      <c r="A10" t="s">
        <v>659</v>
      </c>
      <c r="B10" t="s">
        <v>246</v>
      </c>
      <c r="C10" t="s">
        <v>5</v>
      </c>
      <c r="D10" t="s">
        <v>666</v>
      </c>
      <c r="E10" s="3">
        <v>216.62870955621003</v>
      </c>
      <c r="F10" s="3">
        <f>E10*infdisc</f>
        <v>216.62870955621003</v>
      </c>
    </row>
    <row r="11" spans="1:6" x14ac:dyDescent="0.25">
      <c r="A11" t="s">
        <v>662</v>
      </c>
      <c r="B11" t="s">
        <v>246</v>
      </c>
      <c r="C11" t="s">
        <v>5</v>
      </c>
      <c r="D11" t="s">
        <v>667</v>
      </c>
      <c r="E11" s="3">
        <v>216.62870955621003</v>
      </c>
      <c r="F11" s="3">
        <f>E11*infdisc</f>
        <v>216.62870955621003</v>
      </c>
    </row>
    <row r="12" spans="1:6" x14ac:dyDescent="0.25">
      <c r="A12" t="s">
        <v>664</v>
      </c>
      <c r="B12" t="s">
        <v>246</v>
      </c>
      <c r="C12" t="s">
        <v>5</v>
      </c>
      <c r="D12" t="s">
        <v>668</v>
      </c>
      <c r="E12" s="3">
        <v>216.62870955621003</v>
      </c>
      <c r="F12" s="3">
        <f>E12*infdisc</f>
        <v>216.62870955621003</v>
      </c>
    </row>
    <row r="13" spans="1:6" x14ac:dyDescent="0.25">
      <c r="A13" t="s">
        <v>669</v>
      </c>
      <c r="B13" t="s">
        <v>246</v>
      </c>
      <c r="C13" t="s">
        <v>5</v>
      </c>
      <c r="D13" t="s">
        <v>670</v>
      </c>
      <c r="E13" s="3">
        <v>60.352326837110006</v>
      </c>
      <c r="F13" s="3">
        <f>E13*infdisc</f>
        <v>60.352326837110006</v>
      </c>
    </row>
    <row r="14" spans="1:6" x14ac:dyDescent="0.25">
      <c r="E14" s="3"/>
      <c r="F14" s="3"/>
    </row>
    <row r="15" spans="1:6" x14ac:dyDescent="0.25">
      <c r="A15" t="s">
        <v>876</v>
      </c>
      <c r="B15" t="s">
        <v>230</v>
      </c>
      <c r="C15" t="s">
        <v>1</v>
      </c>
      <c r="D15" t="s">
        <v>2</v>
      </c>
      <c r="E15" t="s">
        <v>3</v>
      </c>
      <c r="F15" t="s">
        <v>929</v>
      </c>
    </row>
    <row r="16" spans="1:6" x14ac:dyDescent="0.25">
      <c r="A16" t="s">
        <v>659</v>
      </c>
      <c r="B16" t="s">
        <v>255</v>
      </c>
      <c r="C16" t="s">
        <v>5</v>
      </c>
      <c r="D16" t="s">
        <v>671</v>
      </c>
      <c r="E16" s="3">
        <v>231.04722107330502</v>
      </c>
      <c r="F16" s="3">
        <f>E16*infdisc</f>
        <v>231.04722107330502</v>
      </c>
    </row>
    <row r="17" spans="1:6" x14ac:dyDescent="0.25">
      <c r="A17" t="s">
        <v>662</v>
      </c>
      <c r="B17" t="s">
        <v>255</v>
      </c>
      <c r="C17" t="s">
        <v>5</v>
      </c>
      <c r="D17" t="s">
        <v>672</v>
      </c>
      <c r="E17" s="3">
        <v>231.04722107330502</v>
      </c>
      <c r="F17" s="3">
        <f>E17*infdisc</f>
        <v>231.04722107330502</v>
      </c>
    </row>
    <row r="18" spans="1:6" x14ac:dyDescent="0.25">
      <c r="A18" t="s">
        <v>664</v>
      </c>
      <c r="B18" t="s">
        <v>255</v>
      </c>
      <c r="C18" t="s">
        <v>5</v>
      </c>
      <c r="D18" t="s">
        <v>673</v>
      </c>
      <c r="E18" s="3">
        <v>231.04722107330502</v>
      </c>
      <c r="F18" s="3">
        <f>E18*infdisc</f>
        <v>231.04722107330502</v>
      </c>
    </row>
    <row r="19" spans="1:6" x14ac:dyDescent="0.25">
      <c r="A19" t="s">
        <v>875</v>
      </c>
      <c r="B19" t="s">
        <v>255</v>
      </c>
      <c r="C19" t="s">
        <v>5</v>
      </c>
      <c r="D19" t="s">
        <v>674</v>
      </c>
      <c r="E19" s="3">
        <v>63.53</v>
      </c>
      <c r="F19" s="3">
        <f>E19*infdisc</f>
        <v>63.53</v>
      </c>
    </row>
    <row r="20" spans="1:6" x14ac:dyDescent="0.25">
      <c r="E20" s="3"/>
      <c r="F20" s="3"/>
    </row>
    <row r="21" spans="1:6" x14ac:dyDescent="0.25">
      <c r="A21" t="s">
        <v>675</v>
      </c>
      <c r="E21" s="3"/>
      <c r="F21" s="3"/>
    </row>
    <row r="22" spans="1:6" x14ac:dyDescent="0.25">
      <c r="A22" t="s">
        <v>874</v>
      </c>
      <c r="B22" t="s">
        <v>230</v>
      </c>
      <c r="C22" t="s">
        <v>1</v>
      </c>
      <c r="D22" t="s">
        <v>2</v>
      </c>
      <c r="E22" t="s">
        <v>3</v>
      </c>
      <c r="F22" t="s">
        <v>929</v>
      </c>
    </row>
    <row r="23" spans="1:6" x14ac:dyDescent="0.25">
      <c r="A23" t="s">
        <v>676</v>
      </c>
      <c r="B23" t="s">
        <v>286</v>
      </c>
      <c r="C23" t="s">
        <v>5</v>
      </c>
      <c r="D23" t="s">
        <v>677</v>
      </c>
      <c r="E23" s="3">
        <v>145.42024465167501</v>
      </c>
      <c r="F23" s="3">
        <f>E23*infdisc</f>
        <v>145.42024465167501</v>
      </c>
    </row>
    <row r="24" spans="1:6" x14ac:dyDescent="0.25">
      <c r="A24" t="s">
        <v>678</v>
      </c>
      <c r="B24" t="s">
        <v>286</v>
      </c>
      <c r="C24" t="s">
        <v>5</v>
      </c>
      <c r="D24" t="s">
        <v>679</v>
      </c>
      <c r="E24" s="3">
        <v>145.42024465167501</v>
      </c>
      <c r="F24" s="3">
        <f>E24*infdisc</f>
        <v>145.42024465167501</v>
      </c>
    </row>
    <row r="25" spans="1:6" x14ac:dyDescent="0.25">
      <c r="E25" s="3"/>
      <c r="F25" s="3"/>
    </row>
    <row r="26" spans="1:6" x14ac:dyDescent="0.25">
      <c r="E26" s="3"/>
      <c r="F26" s="3"/>
    </row>
    <row r="27" spans="1:6" x14ac:dyDescent="0.25">
      <c r="A27" t="s">
        <v>873</v>
      </c>
      <c r="B27" t="s">
        <v>230</v>
      </c>
      <c r="C27" t="s">
        <v>1</v>
      </c>
      <c r="D27" t="s">
        <v>2</v>
      </c>
      <c r="E27" t="s">
        <v>3</v>
      </c>
      <c r="F27" t="s">
        <v>929</v>
      </c>
    </row>
    <row r="28" spans="1:6" x14ac:dyDescent="0.25">
      <c r="A28" t="s">
        <v>676</v>
      </c>
      <c r="B28" t="s">
        <v>288</v>
      </c>
      <c r="C28" t="s">
        <v>5</v>
      </c>
      <c r="D28" t="s">
        <v>680</v>
      </c>
      <c r="E28" s="3">
        <v>165.76737767625002</v>
      </c>
      <c r="F28" s="3">
        <f>E28*infdisc</f>
        <v>165.76737767625002</v>
      </c>
    </row>
    <row r="29" spans="1:6" x14ac:dyDescent="0.25">
      <c r="A29" t="s">
        <v>678</v>
      </c>
      <c r="B29" t="s">
        <v>288</v>
      </c>
      <c r="C29" t="s">
        <v>5</v>
      </c>
      <c r="D29" t="s">
        <v>681</v>
      </c>
      <c r="E29" s="3">
        <v>165.76737767625002</v>
      </c>
      <c r="F29" s="3">
        <f>E29*infdisc</f>
        <v>165.76737767625002</v>
      </c>
    </row>
    <row r="30" spans="1:6" x14ac:dyDescent="0.25">
      <c r="E30" s="3"/>
      <c r="F30" s="3"/>
    </row>
    <row r="31" spans="1:6" x14ac:dyDescent="0.25">
      <c r="A31" t="s">
        <v>682</v>
      </c>
      <c r="E31" s="3"/>
      <c r="F31" s="3"/>
    </row>
    <row r="32" spans="1:6" x14ac:dyDescent="0.25">
      <c r="B32" t="s">
        <v>211</v>
      </c>
      <c r="C32" t="s">
        <v>1</v>
      </c>
      <c r="D32" t="s">
        <v>2</v>
      </c>
      <c r="E32" t="s">
        <v>3</v>
      </c>
      <c r="F32" t="s">
        <v>929</v>
      </c>
    </row>
    <row r="33" spans="1:6" x14ac:dyDescent="0.25">
      <c r="A33" t="s">
        <v>683</v>
      </c>
      <c r="B33" t="s">
        <v>213</v>
      </c>
      <c r="C33" t="s">
        <v>5</v>
      </c>
      <c r="D33" t="s">
        <v>917</v>
      </c>
      <c r="E33" s="3">
        <v>14.678538776194999</v>
      </c>
      <c r="F33" s="3">
        <f>E33*infdisc</f>
        <v>14.678538776194999</v>
      </c>
    </row>
    <row r="34" spans="1:6" x14ac:dyDescent="0.25">
      <c r="A34" t="s">
        <v>932</v>
      </c>
      <c r="C34" t="s">
        <v>5</v>
      </c>
      <c r="D34" t="s">
        <v>931</v>
      </c>
      <c r="E34" s="3">
        <v>14.678538776194999</v>
      </c>
      <c r="F34" s="3">
        <f>E34*infdisc</f>
        <v>14.678538776194999</v>
      </c>
    </row>
    <row r="35" spans="1:6" x14ac:dyDescent="0.25">
      <c r="A35" t="s">
        <v>684</v>
      </c>
      <c r="B35" t="s">
        <v>273</v>
      </c>
      <c r="C35" t="s">
        <v>5</v>
      </c>
      <c r="D35" t="s">
        <v>281</v>
      </c>
      <c r="E35" s="3">
        <v>3.7443925310399999</v>
      </c>
      <c r="F35" s="3">
        <f>E35*infdisc</f>
        <v>3.7443925310399999</v>
      </c>
    </row>
    <row r="36" spans="1:6" x14ac:dyDescent="0.25">
      <c r="A36" t="s">
        <v>685</v>
      </c>
      <c r="B36" t="s">
        <v>275</v>
      </c>
      <c r="C36" t="s">
        <v>5</v>
      </c>
      <c r="D36" t="s">
        <v>278</v>
      </c>
      <c r="E36" s="3">
        <v>6.9557291809250001</v>
      </c>
      <c r="F36" s="3">
        <f>E36*infdisc</f>
        <v>6.9557291809250001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4" tint="0.79998168889431442"/>
  </sheetPr>
  <dimension ref="A1:G31"/>
  <sheetViews>
    <sheetView workbookViewId="0">
      <selection activeCell="A33" sqref="A33"/>
    </sheetView>
  </sheetViews>
  <sheetFormatPr defaultRowHeight="15" x14ac:dyDescent="0.25"/>
  <cols>
    <col min="1" max="1" width="46.140625" customWidth="1"/>
    <col min="2" max="2" width="6.85546875" bestFit="1" customWidth="1"/>
    <col min="3" max="3" width="5" bestFit="1" customWidth="1"/>
    <col min="4" max="4" width="15.28515625" bestFit="1" customWidth="1"/>
    <col min="5" max="5" width="8.85546875" customWidth="1"/>
    <col min="6" max="6" width="13" customWidth="1"/>
    <col min="7" max="7" width="4" style="3" customWidth="1"/>
  </cols>
  <sheetData>
    <row r="1" spans="1:6" x14ac:dyDescent="0.25">
      <c r="A1" t="s">
        <v>686</v>
      </c>
    </row>
    <row r="2" spans="1:6" x14ac:dyDescent="0.25">
      <c r="A2" t="s">
        <v>657</v>
      </c>
    </row>
    <row r="3" spans="1:6" x14ac:dyDescent="0.25">
      <c r="A3" t="s">
        <v>658</v>
      </c>
      <c r="B3" t="s">
        <v>230</v>
      </c>
      <c r="C3" t="s">
        <v>1</v>
      </c>
      <c r="D3" t="s">
        <v>2</v>
      </c>
      <c r="E3" t="s">
        <v>3</v>
      </c>
      <c r="F3" t="s">
        <v>929</v>
      </c>
    </row>
    <row r="4" spans="1:6" x14ac:dyDescent="0.25">
      <c r="A4" t="s">
        <v>659</v>
      </c>
      <c r="B4" t="s">
        <v>687</v>
      </c>
      <c r="C4" t="s">
        <v>5</v>
      </c>
      <c r="D4" t="s">
        <v>688</v>
      </c>
      <c r="E4" s="3">
        <v>165.650365409655</v>
      </c>
      <c r="F4" s="3">
        <f>E4*infdisc</f>
        <v>165.650365409655</v>
      </c>
    </row>
    <row r="5" spans="1:6" x14ac:dyDescent="0.25">
      <c r="A5" t="s">
        <v>662</v>
      </c>
      <c r="B5" t="s">
        <v>687</v>
      </c>
      <c r="C5" t="s">
        <v>5</v>
      </c>
      <c r="D5" t="s">
        <v>689</v>
      </c>
      <c r="E5" s="3">
        <v>165.650365409655</v>
      </c>
      <c r="F5" s="3">
        <f>E5*infdisc</f>
        <v>165.650365409655</v>
      </c>
    </row>
    <row r="6" spans="1:6" x14ac:dyDescent="0.25">
      <c r="A6" t="s">
        <v>664</v>
      </c>
      <c r="B6" t="s">
        <v>687</v>
      </c>
      <c r="C6" t="s">
        <v>5</v>
      </c>
      <c r="D6" t="s">
        <v>690</v>
      </c>
      <c r="E6" s="3">
        <v>165.650365409655</v>
      </c>
      <c r="F6" s="3">
        <f>E6*infdisc</f>
        <v>165.650365409655</v>
      </c>
    </row>
    <row r="7" spans="1:6" x14ac:dyDescent="0.25">
      <c r="E7" s="3"/>
      <c r="F7" s="3"/>
    </row>
    <row r="8" spans="1:6" x14ac:dyDescent="0.25">
      <c r="A8" t="s">
        <v>877</v>
      </c>
      <c r="B8" t="s">
        <v>230</v>
      </c>
      <c r="C8" t="s">
        <v>1</v>
      </c>
      <c r="D8" t="s">
        <v>2</v>
      </c>
      <c r="E8" t="s">
        <v>3</v>
      </c>
      <c r="F8" t="s">
        <v>3</v>
      </c>
    </row>
    <row r="9" spans="1:6" x14ac:dyDescent="0.25">
      <c r="A9" t="s">
        <v>659</v>
      </c>
      <c r="B9" t="s">
        <v>691</v>
      </c>
      <c r="C9" t="s">
        <v>5</v>
      </c>
      <c r="D9" t="s">
        <v>692</v>
      </c>
      <c r="E9" s="3">
        <v>186.98560201881</v>
      </c>
      <c r="F9" s="3">
        <f>E9*infdisc</f>
        <v>186.98560201881</v>
      </c>
    </row>
    <row r="10" spans="1:6" x14ac:dyDescent="0.25">
      <c r="A10" t="s">
        <v>662</v>
      </c>
      <c r="B10" t="s">
        <v>691</v>
      </c>
      <c r="C10" t="s">
        <v>5</v>
      </c>
      <c r="D10" t="s">
        <v>693</v>
      </c>
      <c r="E10" s="3">
        <v>186.98560201881</v>
      </c>
      <c r="F10" s="3">
        <f>E10*infdisc</f>
        <v>186.98560201881</v>
      </c>
    </row>
    <row r="11" spans="1:6" x14ac:dyDescent="0.25">
      <c r="A11" t="s">
        <v>664</v>
      </c>
      <c r="B11" t="s">
        <v>691</v>
      </c>
      <c r="C11" t="s">
        <v>5</v>
      </c>
      <c r="D11" t="s">
        <v>694</v>
      </c>
      <c r="E11" s="3">
        <v>186.98560201881</v>
      </c>
      <c r="F11" s="3">
        <f>E11*infdisc</f>
        <v>186.98560201881</v>
      </c>
    </row>
    <row r="12" spans="1:6" x14ac:dyDescent="0.25">
      <c r="A12" t="s">
        <v>669</v>
      </c>
      <c r="B12" t="s">
        <v>246</v>
      </c>
      <c r="C12" t="s">
        <v>5</v>
      </c>
      <c r="D12" t="s">
        <v>670</v>
      </c>
      <c r="E12" s="3">
        <v>60.352326837110006</v>
      </c>
      <c r="F12" s="3">
        <f>E12*infdisc</f>
        <v>60.352326837110006</v>
      </c>
    </row>
    <row r="13" spans="1:6" x14ac:dyDescent="0.25">
      <c r="E13" s="3"/>
      <c r="F13" s="3"/>
    </row>
    <row r="14" spans="1:6" x14ac:dyDescent="0.25">
      <c r="A14" t="s">
        <v>876</v>
      </c>
      <c r="B14" t="s">
        <v>230</v>
      </c>
      <c r="C14" t="s">
        <v>1</v>
      </c>
      <c r="D14" t="s">
        <v>2</v>
      </c>
      <c r="E14" t="s">
        <v>3</v>
      </c>
      <c r="F14" t="s">
        <v>3</v>
      </c>
    </row>
    <row r="15" spans="1:6" x14ac:dyDescent="0.25">
      <c r="A15" t="s">
        <v>659</v>
      </c>
      <c r="B15" t="s">
        <v>300</v>
      </c>
      <c r="C15" t="s">
        <v>5</v>
      </c>
      <c r="D15" t="s">
        <v>695</v>
      </c>
      <c r="E15" s="3">
        <v>201.39</v>
      </c>
      <c r="F15" s="3">
        <f>E15*infdisc</f>
        <v>201.39</v>
      </c>
    </row>
    <row r="16" spans="1:6" x14ac:dyDescent="0.25">
      <c r="A16" t="s">
        <v>662</v>
      </c>
      <c r="B16" t="s">
        <v>300</v>
      </c>
      <c r="C16" t="s">
        <v>5</v>
      </c>
      <c r="D16" t="s">
        <v>696</v>
      </c>
      <c r="E16" s="3">
        <v>201.39</v>
      </c>
      <c r="F16" s="3">
        <f>E16*infdisc</f>
        <v>201.39</v>
      </c>
    </row>
    <row r="17" spans="1:6" x14ac:dyDescent="0.25">
      <c r="A17" t="s">
        <v>664</v>
      </c>
      <c r="B17" t="s">
        <v>300</v>
      </c>
      <c r="C17" t="s">
        <v>5</v>
      </c>
      <c r="D17" t="s">
        <v>697</v>
      </c>
      <c r="E17" s="3">
        <v>201.39</v>
      </c>
      <c r="F17" s="3">
        <f>E17*infdisc</f>
        <v>201.39</v>
      </c>
    </row>
    <row r="18" spans="1:6" x14ac:dyDescent="0.25">
      <c r="A18" t="s">
        <v>875</v>
      </c>
      <c r="B18" t="s">
        <v>255</v>
      </c>
      <c r="C18" t="s">
        <v>5</v>
      </c>
      <c r="D18" t="s">
        <v>674</v>
      </c>
      <c r="E18" s="3">
        <v>63.53</v>
      </c>
      <c r="F18" s="3">
        <f>E18*infdisc</f>
        <v>63.53</v>
      </c>
    </row>
    <row r="19" spans="1:6" x14ac:dyDescent="0.25">
      <c r="E19" s="3"/>
      <c r="F19" s="3"/>
    </row>
    <row r="20" spans="1:6" x14ac:dyDescent="0.25">
      <c r="A20" t="s">
        <v>698</v>
      </c>
      <c r="E20" s="3"/>
      <c r="F20" s="3"/>
    </row>
    <row r="21" spans="1:6" x14ac:dyDescent="0.25">
      <c r="A21" t="s">
        <v>874</v>
      </c>
      <c r="B21" t="s">
        <v>230</v>
      </c>
      <c r="C21" t="s">
        <v>1</v>
      </c>
      <c r="D21" t="s">
        <v>2</v>
      </c>
      <c r="E21" t="s">
        <v>3</v>
      </c>
      <c r="F21" t="s">
        <v>3</v>
      </c>
    </row>
    <row r="22" spans="1:6" x14ac:dyDescent="0.25">
      <c r="A22" t="s">
        <v>676</v>
      </c>
      <c r="B22" t="s">
        <v>699</v>
      </c>
      <c r="C22" t="s">
        <v>5</v>
      </c>
      <c r="D22" t="s">
        <v>700</v>
      </c>
      <c r="E22" s="3">
        <v>206.01692420750001</v>
      </c>
      <c r="F22" s="3">
        <f>E22*infdisc</f>
        <v>206.01692420750001</v>
      </c>
    </row>
    <row r="23" spans="1:6" x14ac:dyDescent="0.25">
      <c r="A23" t="s">
        <v>678</v>
      </c>
      <c r="B23" t="s">
        <v>699</v>
      </c>
      <c r="C23" t="s">
        <v>5</v>
      </c>
      <c r="D23" t="s">
        <v>701</v>
      </c>
      <c r="E23" s="3">
        <v>206.01692420750001</v>
      </c>
      <c r="F23" s="3">
        <f>E23*infdisc</f>
        <v>206.01692420750001</v>
      </c>
    </row>
    <row r="24" spans="1:6" x14ac:dyDescent="0.25">
      <c r="E24" s="3"/>
      <c r="F24" s="3"/>
    </row>
    <row r="25" spans="1:6" x14ac:dyDescent="0.25">
      <c r="A25" t="s">
        <v>873</v>
      </c>
      <c r="B25" t="s">
        <v>230</v>
      </c>
      <c r="C25" t="s">
        <v>1</v>
      </c>
      <c r="D25" t="s">
        <v>2</v>
      </c>
      <c r="E25" t="s">
        <v>3</v>
      </c>
      <c r="F25" t="s">
        <v>3</v>
      </c>
    </row>
    <row r="26" spans="1:6" x14ac:dyDescent="0.25">
      <c r="A26" t="s">
        <v>676</v>
      </c>
      <c r="B26" t="s">
        <v>702</v>
      </c>
      <c r="C26" t="s">
        <v>5</v>
      </c>
      <c r="D26" t="s">
        <v>703</v>
      </c>
      <c r="E26" s="3">
        <v>220.148312167</v>
      </c>
      <c r="F26" s="3">
        <f>E26*infdisc</f>
        <v>220.148312167</v>
      </c>
    </row>
    <row r="27" spans="1:6" x14ac:dyDescent="0.25">
      <c r="A27" t="s">
        <v>678</v>
      </c>
      <c r="B27" t="s">
        <v>702</v>
      </c>
      <c r="C27" t="s">
        <v>5</v>
      </c>
      <c r="D27" t="s">
        <v>704</v>
      </c>
      <c r="E27" s="3">
        <v>220.148312167</v>
      </c>
      <c r="F27" s="3">
        <f>E27*infdisc</f>
        <v>220.148312167</v>
      </c>
    </row>
    <row r="28" spans="1:6" x14ac:dyDescent="0.25">
      <c r="E28" s="3"/>
      <c r="F28" s="3"/>
    </row>
    <row r="29" spans="1:6" x14ac:dyDescent="0.25">
      <c r="A29" t="s">
        <v>705</v>
      </c>
      <c r="B29" t="s">
        <v>230</v>
      </c>
      <c r="C29" t="s">
        <v>1</v>
      </c>
      <c r="D29" t="s">
        <v>2</v>
      </c>
      <c r="E29" t="s">
        <v>3</v>
      </c>
      <c r="F29" t="s">
        <v>3</v>
      </c>
    </row>
    <row r="30" spans="1:6" x14ac:dyDescent="0.25">
      <c r="A30" t="s">
        <v>683</v>
      </c>
      <c r="B30" t="s">
        <v>706</v>
      </c>
      <c r="C30" t="s">
        <v>5</v>
      </c>
      <c r="D30" t="s">
        <v>917</v>
      </c>
      <c r="E30" s="3">
        <v>14.678538776194999</v>
      </c>
      <c r="F30" s="3">
        <f>E30*infdisc</f>
        <v>14.678538776194999</v>
      </c>
    </row>
    <row r="31" spans="1:6" x14ac:dyDescent="0.25">
      <c r="A31" t="s">
        <v>932</v>
      </c>
      <c r="C31" t="s">
        <v>5</v>
      </c>
      <c r="D31" t="s">
        <v>931</v>
      </c>
      <c r="E31" s="3">
        <v>14.678538776194999</v>
      </c>
      <c r="F31" s="3">
        <f>E31*infdisc</f>
        <v>14.678538776194999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4" tint="0.79998168889431442"/>
  </sheetPr>
  <dimension ref="A2:F21"/>
  <sheetViews>
    <sheetView workbookViewId="0"/>
  </sheetViews>
  <sheetFormatPr defaultRowHeight="15" x14ac:dyDescent="0.25"/>
  <cols>
    <col min="1" max="1" width="59" bestFit="1" customWidth="1"/>
    <col min="2" max="2" width="5" bestFit="1" customWidth="1"/>
    <col min="3" max="3" width="12.42578125" bestFit="1" customWidth="1"/>
    <col min="4" max="4" width="8.85546875" customWidth="1"/>
    <col min="5" max="5" width="14.7109375" customWidth="1"/>
    <col min="6" max="6" width="2.5703125" style="3" customWidth="1"/>
  </cols>
  <sheetData>
    <row r="2" spans="1:5" x14ac:dyDescent="0.25">
      <c r="A2" t="s">
        <v>707</v>
      </c>
    </row>
    <row r="3" spans="1:5" x14ac:dyDescent="0.25">
      <c r="A3" t="s">
        <v>708</v>
      </c>
      <c r="B3" t="s">
        <v>1</v>
      </c>
      <c r="C3" t="s">
        <v>2</v>
      </c>
      <c r="D3" t="s">
        <v>3</v>
      </c>
      <c r="E3" t="s">
        <v>929</v>
      </c>
    </row>
    <row r="4" spans="1:5" x14ac:dyDescent="0.25">
      <c r="A4" t="s">
        <v>709</v>
      </c>
      <c r="B4" t="s">
        <v>5</v>
      </c>
      <c r="C4" t="s">
        <v>710</v>
      </c>
      <c r="D4" s="3">
        <v>42.319436418525001</v>
      </c>
      <c r="E4" s="3">
        <f>D4*infdisc</f>
        <v>42.319436418525001</v>
      </c>
    </row>
    <row r="5" spans="1:5" x14ac:dyDescent="0.25">
      <c r="A5" t="s">
        <v>711</v>
      </c>
      <c r="B5" t="s">
        <v>5</v>
      </c>
      <c r="C5" t="s">
        <v>712</v>
      </c>
      <c r="D5" s="3">
        <v>42.319436418525001</v>
      </c>
      <c r="E5" s="3">
        <f>D5*infdisc</f>
        <v>42.319436418525001</v>
      </c>
    </row>
    <row r="6" spans="1:5" x14ac:dyDescent="0.25">
      <c r="A6" t="s">
        <v>713</v>
      </c>
      <c r="B6" t="s">
        <v>5</v>
      </c>
      <c r="C6" t="s">
        <v>714</v>
      </c>
      <c r="D6" s="3">
        <v>43.619572714025004</v>
      </c>
      <c r="E6" s="3">
        <f>D6*infdisc</f>
        <v>43.619572714025004</v>
      </c>
    </row>
    <row r="7" spans="1:5" x14ac:dyDescent="0.25">
      <c r="A7" t="s">
        <v>715</v>
      </c>
      <c r="B7" t="s">
        <v>5</v>
      </c>
      <c r="C7" t="s">
        <v>716</v>
      </c>
      <c r="D7" s="3">
        <v>43.619572714025004</v>
      </c>
      <c r="E7" s="3">
        <f>D7*infdisc</f>
        <v>43.619572714025004</v>
      </c>
    </row>
    <row r="8" spans="1:5" x14ac:dyDescent="0.25">
      <c r="D8" s="3"/>
      <c r="E8" s="3"/>
    </row>
    <row r="9" spans="1:5" x14ac:dyDescent="0.25">
      <c r="A9" t="s">
        <v>878</v>
      </c>
      <c r="B9" t="s">
        <v>1</v>
      </c>
      <c r="C9" t="s">
        <v>2</v>
      </c>
      <c r="D9" t="s">
        <v>3</v>
      </c>
      <c r="E9" s="3" t="str">
        <f>E3</f>
        <v>Dealer Price</v>
      </c>
    </row>
    <row r="10" spans="1:5" x14ac:dyDescent="0.25">
      <c r="A10" t="s">
        <v>717</v>
      </c>
      <c r="B10" t="s">
        <v>5</v>
      </c>
      <c r="C10" t="s">
        <v>718</v>
      </c>
      <c r="D10" s="3">
        <v>46.975017928999996</v>
      </c>
      <c r="E10" s="3">
        <f>D10*infdisc</f>
        <v>46.975017928999996</v>
      </c>
    </row>
    <row r="11" spans="1:5" x14ac:dyDescent="0.25">
      <c r="A11" t="s">
        <v>719</v>
      </c>
      <c r="B11" t="s">
        <v>5</v>
      </c>
      <c r="C11" t="s">
        <v>720</v>
      </c>
      <c r="D11" s="3">
        <v>46.975017928999996</v>
      </c>
      <c r="E11" s="3">
        <f>D11*infdisc</f>
        <v>46.975017928999996</v>
      </c>
    </row>
    <row r="12" spans="1:5" x14ac:dyDescent="0.25">
      <c r="A12" t="s">
        <v>721</v>
      </c>
      <c r="B12" t="s">
        <v>5</v>
      </c>
      <c r="C12" t="s">
        <v>722</v>
      </c>
      <c r="D12" s="3">
        <v>48.9069961625</v>
      </c>
      <c r="E12" s="3">
        <f>D12*infdisc</f>
        <v>48.9069961625</v>
      </c>
    </row>
    <row r="13" spans="1:5" x14ac:dyDescent="0.25">
      <c r="A13" t="s">
        <v>723</v>
      </c>
      <c r="B13" t="s">
        <v>5</v>
      </c>
      <c r="C13" t="s">
        <v>724</v>
      </c>
      <c r="D13" s="3">
        <v>48.9069961625</v>
      </c>
      <c r="E13" s="3">
        <f>D13*infdisc</f>
        <v>48.9069961625</v>
      </c>
    </row>
    <row r="14" spans="1:5" x14ac:dyDescent="0.25">
      <c r="D14" s="3"/>
      <c r="E14" s="3"/>
    </row>
    <row r="15" spans="1:5" x14ac:dyDescent="0.25">
      <c r="A15" t="s">
        <v>725</v>
      </c>
      <c r="D15" s="3"/>
      <c r="E15" s="3"/>
    </row>
    <row r="16" spans="1:5" x14ac:dyDescent="0.25">
      <c r="A16" t="s">
        <v>726</v>
      </c>
      <c r="B16" t="s">
        <v>1</v>
      </c>
      <c r="C16" t="s">
        <v>2</v>
      </c>
      <c r="D16" t="s">
        <v>3</v>
      </c>
      <c r="E16" s="3" t="str">
        <f>E3</f>
        <v>Dealer Price</v>
      </c>
    </row>
    <row r="17" spans="1:5" x14ac:dyDescent="0.25">
      <c r="A17" t="s">
        <v>727</v>
      </c>
      <c r="B17" t="s">
        <v>5</v>
      </c>
      <c r="C17" t="s">
        <v>728</v>
      </c>
      <c r="D17" s="3">
        <v>16.16</v>
      </c>
      <c r="E17" s="3">
        <f>D17*infdisc</f>
        <v>16.16</v>
      </c>
    </row>
    <row r="18" spans="1:5" x14ac:dyDescent="0.25">
      <c r="A18" t="s">
        <v>729</v>
      </c>
      <c r="B18" t="s">
        <v>5</v>
      </c>
      <c r="C18" t="s">
        <v>730</v>
      </c>
      <c r="D18" s="3">
        <v>17.473831811520004</v>
      </c>
      <c r="E18" s="3">
        <f>D18*infdisc</f>
        <v>17.473831811520004</v>
      </c>
    </row>
    <row r="19" spans="1:5" x14ac:dyDescent="0.25">
      <c r="A19" t="s">
        <v>731</v>
      </c>
      <c r="B19" t="s">
        <v>5</v>
      </c>
      <c r="C19" t="s">
        <v>732</v>
      </c>
      <c r="D19" s="3">
        <v>23.350447867180005</v>
      </c>
      <c r="E19" s="3">
        <f>D19*infdisc</f>
        <v>23.350447867180005</v>
      </c>
    </row>
    <row r="20" spans="1:5" x14ac:dyDescent="0.25">
      <c r="A20" t="s">
        <v>966</v>
      </c>
      <c r="B20" t="s">
        <v>5</v>
      </c>
      <c r="C20" t="s">
        <v>733</v>
      </c>
      <c r="D20" s="3">
        <v>4.2124415974200007</v>
      </c>
      <c r="E20" s="3">
        <f>D20*infdisc</f>
        <v>4.2124415974200007</v>
      </c>
    </row>
    <row r="21" spans="1:5" x14ac:dyDescent="0.25">
      <c r="A21" t="s">
        <v>967</v>
      </c>
      <c r="B21" t="s">
        <v>5</v>
      </c>
      <c r="C21" t="s">
        <v>968</v>
      </c>
      <c r="D21" s="3">
        <v>12.39</v>
      </c>
      <c r="E21" s="3">
        <f>D21*infdisc</f>
        <v>12.39</v>
      </c>
    </row>
  </sheetData>
  <phoneticPr fontId="8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4" tint="0.79998168889431442"/>
  </sheetPr>
  <dimension ref="A2:G24"/>
  <sheetViews>
    <sheetView workbookViewId="0">
      <selection activeCell="D7" sqref="D7"/>
    </sheetView>
  </sheetViews>
  <sheetFormatPr defaultRowHeight="15" x14ac:dyDescent="0.25"/>
  <cols>
    <col min="1" max="1" width="56.28515625" bestFit="1" customWidth="1"/>
    <col min="2" max="2" width="6.85546875" customWidth="1"/>
    <col min="3" max="3" width="5" bestFit="1" customWidth="1"/>
    <col min="4" max="4" width="13.42578125" bestFit="1" customWidth="1"/>
    <col min="5" max="5" width="10.5703125" customWidth="1"/>
    <col min="6" max="6" width="16.42578125" customWidth="1"/>
    <col min="7" max="7" width="3.42578125" style="3" customWidth="1"/>
    <col min="9" max="9" width="67" bestFit="1" customWidth="1"/>
  </cols>
  <sheetData>
    <row r="2" spans="1:6" x14ac:dyDescent="0.25">
      <c r="A2" t="s">
        <v>734</v>
      </c>
    </row>
    <row r="3" spans="1:6" x14ac:dyDescent="0.25">
      <c r="A3" t="s">
        <v>735</v>
      </c>
      <c r="B3" t="s">
        <v>0</v>
      </c>
      <c r="C3" t="s">
        <v>1</v>
      </c>
      <c r="D3" t="s">
        <v>2</v>
      </c>
      <c r="E3" t="s">
        <v>3</v>
      </c>
      <c r="F3" t="s">
        <v>929</v>
      </c>
    </row>
    <row r="4" spans="1:6" x14ac:dyDescent="0.25">
      <c r="A4" t="s">
        <v>736</v>
      </c>
      <c r="B4" t="s">
        <v>737</v>
      </c>
      <c r="C4" t="s">
        <v>5</v>
      </c>
      <c r="D4" t="s">
        <v>738</v>
      </c>
      <c r="E4" s="3">
        <v>24.624581436770001</v>
      </c>
      <c r="F4" s="3">
        <f t="shared" ref="F4:F9" si="0">E4*infdisc</f>
        <v>24.624581436770001</v>
      </c>
    </row>
    <row r="5" spans="1:6" x14ac:dyDescent="0.25">
      <c r="A5" t="s">
        <v>934</v>
      </c>
      <c r="B5" t="s">
        <v>565</v>
      </c>
      <c r="C5" t="s">
        <v>5</v>
      </c>
      <c r="D5" t="s">
        <v>935</v>
      </c>
      <c r="E5" s="3">
        <v>20.522712178500001</v>
      </c>
      <c r="F5" s="3">
        <f t="shared" si="0"/>
        <v>20.522712178500001</v>
      </c>
    </row>
    <row r="6" spans="1:6" x14ac:dyDescent="0.25">
      <c r="A6" t="s">
        <v>739</v>
      </c>
      <c r="B6" t="s">
        <v>737</v>
      </c>
      <c r="C6" t="s">
        <v>5</v>
      </c>
      <c r="D6" t="s">
        <v>740</v>
      </c>
      <c r="E6" s="3">
        <v>74.549815183970011</v>
      </c>
      <c r="F6" s="3">
        <f t="shared" si="0"/>
        <v>74.549815183970011</v>
      </c>
    </row>
    <row r="7" spans="1:6" x14ac:dyDescent="0.25">
      <c r="A7" t="s">
        <v>741</v>
      </c>
      <c r="B7" t="s">
        <v>565</v>
      </c>
      <c r="C7" t="s">
        <v>5</v>
      </c>
      <c r="D7" t="s">
        <v>742</v>
      </c>
      <c r="E7" s="3">
        <v>61.94</v>
      </c>
      <c r="F7" s="3">
        <f t="shared" si="0"/>
        <v>61.94</v>
      </c>
    </row>
    <row r="8" spans="1:6" x14ac:dyDescent="0.25">
      <c r="A8" t="s">
        <v>743</v>
      </c>
      <c r="B8" t="s">
        <v>744</v>
      </c>
      <c r="C8" t="s">
        <v>5</v>
      </c>
      <c r="D8" t="s">
        <v>923</v>
      </c>
      <c r="E8" s="3">
        <v>3.33</v>
      </c>
      <c r="F8" s="3">
        <f t="shared" si="0"/>
        <v>3.33</v>
      </c>
    </row>
    <row r="9" spans="1:6" x14ac:dyDescent="0.25">
      <c r="A9" t="s">
        <v>745</v>
      </c>
      <c r="B9" t="s">
        <v>746</v>
      </c>
      <c r="C9" t="s">
        <v>5</v>
      </c>
      <c r="D9" t="s">
        <v>747</v>
      </c>
      <c r="E9" s="3">
        <v>2.6262753169100002</v>
      </c>
      <c r="F9" s="3">
        <f t="shared" si="0"/>
        <v>2.6262753169100002</v>
      </c>
    </row>
    <row r="10" spans="1:6" x14ac:dyDescent="0.25">
      <c r="E10" s="3"/>
      <c r="F10" s="3"/>
    </row>
    <row r="11" spans="1:6" x14ac:dyDescent="0.25">
      <c r="A11" t="s">
        <v>748</v>
      </c>
      <c r="B11" t="s">
        <v>211</v>
      </c>
      <c r="C11" t="s">
        <v>1</v>
      </c>
      <c r="D11" t="s">
        <v>2</v>
      </c>
      <c r="E11" t="s">
        <v>3</v>
      </c>
      <c r="F11" s="3" t="str">
        <f>F3</f>
        <v>Dealer Price</v>
      </c>
    </row>
    <row r="12" spans="1:6" x14ac:dyDescent="0.25">
      <c r="A12" t="s">
        <v>749</v>
      </c>
      <c r="B12" t="s">
        <v>213</v>
      </c>
      <c r="C12" t="s">
        <v>5</v>
      </c>
      <c r="D12" t="s">
        <v>750</v>
      </c>
      <c r="E12" s="3">
        <v>16.576737767625001</v>
      </c>
      <c r="F12" s="3">
        <f>E12*infdisc</f>
        <v>16.576737767625001</v>
      </c>
    </row>
    <row r="13" spans="1:6" x14ac:dyDescent="0.25">
      <c r="E13" s="3"/>
      <c r="F13" s="3"/>
    </row>
    <row r="14" spans="1:6" x14ac:dyDescent="0.25">
      <c r="A14" t="s">
        <v>751</v>
      </c>
      <c r="E14" s="3"/>
      <c r="F14" s="3"/>
    </row>
    <row r="15" spans="1:6" x14ac:dyDescent="0.25">
      <c r="B15" t="s">
        <v>211</v>
      </c>
      <c r="C15" t="s">
        <v>1</v>
      </c>
      <c r="D15" t="s">
        <v>2</v>
      </c>
      <c r="E15" t="s">
        <v>3</v>
      </c>
      <c r="F15" s="3" t="str">
        <f>F3</f>
        <v>Dealer Price</v>
      </c>
    </row>
    <row r="16" spans="1:6" x14ac:dyDescent="0.25">
      <c r="A16" t="s">
        <v>752</v>
      </c>
      <c r="B16" t="s">
        <v>273</v>
      </c>
      <c r="C16" t="s">
        <v>5</v>
      </c>
      <c r="D16" t="s">
        <v>755</v>
      </c>
      <c r="E16" s="3">
        <v>22.102317023500003</v>
      </c>
      <c r="F16" s="3">
        <f>E16*infdisc</f>
        <v>22.102317023500003</v>
      </c>
    </row>
    <row r="17" spans="1:6" x14ac:dyDescent="0.25">
      <c r="A17" t="s">
        <v>754</v>
      </c>
      <c r="B17" t="s">
        <v>275</v>
      </c>
      <c r="C17" t="s">
        <v>5</v>
      </c>
      <c r="D17" t="s">
        <v>757</v>
      </c>
      <c r="E17" s="3">
        <v>23.402453319000003</v>
      </c>
      <c r="F17" s="3">
        <f>E17*infdisc</f>
        <v>23.402453319000003</v>
      </c>
    </row>
    <row r="18" spans="1:6" x14ac:dyDescent="0.25">
      <c r="A18" t="s">
        <v>756</v>
      </c>
      <c r="B18" t="s">
        <v>277</v>
      </c>
      <c r="C18" t="s">
        <v>5</v>
      </c>
      <c r="D18" t="s">
        <v>753</v>
      </c>
      <c r="E18" s="3">
        <v>23.402453319000003</v>
      </c>
      <c r="F18" s="3">
        <f>E18*infdisc</f>
        <v>23.402453319000003</v>
      </c>
    </row>
    <row r="19" spans="1:6" x14ac:dyDescent="0.25">
      <c r="A19" t="s">
        <v>758</v>
      </c>
      <c r="B19" t="s">
        <v>280</v>
      </c>
      <c r="C19" t="s">
        <v>640</v>
      </c>
      <c r="D19" t="s">
        <v>759</v>
      </c>
      <c r="E19" s="3">
        <v>229.24003162255997</v>
      </c>
      <c r="F19" s="3">
        <f>E19*infdisc</f>
        <v>229.24003162255997</v>
      </c>
    </row>
    <row r="20" spans="1:6" x14ac:dyDescent="0.25">
      <c r="E20" s="3"/>
      <c r="F20" s="3"/>
    </row>
    <row r="21" spans="1:6" x14ac:dyDescent="0.25">
      <c r="A21" t="s">
        <v>894</v>
      </c>
      <c r="E21" s="3"/>
      <c r="F21" s="3"/>
    </row>
    <row r="22" spans="1:6" x14ac:dyDescent="0.25">
      <c r="A22" t="s">
        <v>912</v>
      </c>
      <c r="E22" s="3"/>
      <c r="F22" s="3"/>
    </row>
    <row r="23" spans="1:6" x14ac:dyDescent="0.25">
      <c r="B23" t="s">
        <v>0</v>
      </c>
      <c r="C23" t="s">
        <v>1</v>
      </c>
      <c r="D23" t="s">
        <v>2</v>
      </c>
      <c r="E23" s="3" t="s">
        <v>761</v>
      </c>
      <c r="F23" s="3" t="s">
        <v>929</v>
      </c>
    </row>
    <row r="24" spans="1:6" x14ac:dyDescent="0.25">
      <c r="A24" t="s">
        <v>909</v>
      </c>
      <c r="B24" t="s">
        <v>910</v>
      </c>
      <c r="C24" t="s">
        <v>5</v>
      </c>
      <c r="D24" t="s">
        <v>911</v>
      </c>
      <c r="E24" s="3">
        <v>22.88</v>
      </c>
      <c r="F24" s="3">
        <f>+E24</f>
        <v>22.88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theme="0" tint="-0.499984740745262"/>
  </sheetPr>
  <dimension ref="A2:H47"/>
  <sheetViews>
    <sheetView zoomScaleNormal="100" workbookViewId="0"/>
  </sheetViews>
  <sheetFormatPr defaultRowHeight="15" x14ac:dyDescent="0.25"/>
  <cols>
    <col min="1" max="1" width="69.85546875" bestFit="1" customWidth="1"/>
    <col min="2" max="2" width="5" bestFit="1" customWidth="1"/>
    <col min="3" max="3" width="4.7109375" bestFit="1" customWidth="1"/>
    <col min="4" max="4" width="9.5703125" customWidth="1"/>
    <col min="5" max="5" width="19" bestFit="1" customWidth="1"/>
    <col min="6" max="6" width="11.140625" customWidth="1"/>
    <col min="7" max="7" width="22.7109375" style="3" customWidth="1"/>
    <col min="8" max="8" width="24.140625" bestFit="1" customWidth="1"/>
  </cols>
  <sheetData>
    <row r="2" spans="1:8" x14ac:dyDescent="0.25">
      <c r="A2" t="s">
        <v>851</v>
      </c>
    </row>
    <row r="3" spans="1:8" x14ac:dyDescent="0.25">
      <c r="B3" t="s">
        <v>211</v>
      </c>
      <c r="C3" t="s">
        <v>1</v>
      </c>
      <c r="D3" t="s">
        <v>760</v>
      </c>
      <c r="E3" t="s">
        <v>2</v>
      </c>
      <c r="F3" t="s">
        <v>761</v>
      </c>
      <c r="G3" s="3" t="s">
        <v>929</v>
      </c>
    </row>
    <row r="4" spans="1:8" x14ac:dyDescent="0.25">
      <c r="A4" t="s">
        <v>762</v>
      </c>
      <c r="B4" t="s">
        <v>213</v>
      </c>
      <c r="C4" t="s">
        <v>569</v>
      </c>
      <c r="D4">
        <v>100</v>
      </c>
      <c r="E4" t="s">
        <v>763</v>
      </c>
      <c r="F4" s="3">
        <v>18.46</v>
      </c>
      <c r="G4" s="3">
        <f>+F4</f>
        <v>18.46</v>
      </c>
    </row>
    <row r="5" spans="1:8" x14ac:dyDescent="0.25">
      <c r="A5" t="s">
        <v>939</v>
      </c>
      <c r="B5" t="s">
        <v>273</v>
      </c>
      <c r="C5" t="s">
        <v>569</v>
      </c>
      <c r="D5">
        <v>100</v>
      </c>
      <c r="E5" t="s">
        <v>764</v>
      </c>
      <c r="F5" s="3">
        <v>8.5500000000000007</v>
      </c>
      <c r="G5" s="3">
        <f t="shared" ref="G5:G17" si="0">+F5</f>
        <v>8.5500000000000007</v>
      </c>
    </row>
    <row r="6" spans="1:8" x14ac:dyDescent="0.25">
      <c r="A6" t="s">
        <v>936</v>
      </c>
      <c r="B6" t="s">
        <v>275</v>
      </c>
      <c r="C6" t="s">
        <v>5</v>
      </c>
      <c r="D6">
        <v>1</v>
      </c>
      <c r="E6" t="s">
        <v>930</v>
      </c>
      <c r="F6" s="3">
        <v>0.3</v>
      </c>
      <c r="G6" s="3">
        <f t="shared" si="0"/>
        <v>0.3</v>
      </c>
    </row>
    <row r="7" spans="1:8" x14ac:dyDescent="0.25">
      <c r="A7" t="s">
        <v>938</v>
      </c>
      <c r="B7" t="s">
        <v>277</v>
      </c>
      <c r="C7" t="s">
        <v>569</v>
      </c>
      <c r="D7">
        <v>100</v>
      </c>
      <c r="E7" t="s">
        <v>765</v>
      </c>
      <c r="F7" s="3">
        <v>12.31</v>
      </c>
      <c r="G7" s="3">
        <f t="shared" si="0"/>
        <v>12.31</v>
      </c>
    </row>
    <row r="8" spans="1:8" x14ac:dyDescent="0.25">
      <c r="A8" t="s">
        <v>766</v>
      </c>
      <c r="B8" t="s">
        <v>280</v>
      </c>
      <c r="C8" t="s">
        <v>569</v>
      </c>
      <c r="D8">
        <v>100</v>
      </c>
      <c r="E8" t="s">
        <v>767</v>
      </c>
      <c r="F8" s="3">
        <v>22.08</v>
      </c>
      <c r="G8" s="3">
        <f t="shared" si="0"/>
        <v>22.08</v>
      </c>
    </row>
    <row r="9" spans="1:8" x14ac:dyDescent="0.25">
      <c r="A9" t="s">
        <v>850</v>
      </c>
      <c r="B9" t="s">
        <v>283</v>
      </c>
      <c r="C9" t="s">
        <v>569</v>
      </c>
      <c r="D9">
        <v>100</v>
      </c>
      <c r="E9" t="s">
        <v>852</v>
      </c>
      <c r="F9" s="3">
        <v>27.85</v>
      </c>
      <c r="G9" s="3">
        <f t="shared" si="0"/>
        <v>27.85</v>
      </c>
    </row>
    <row r="10" spans="1:8" x14ac:dyDescent="0.25">
      <c r="A10" t="s">
        <v>940</v>
      </c>
      <c r="B10" t="s">
        <v>360</v>
      </c>
      <c r="C10" t="s">
        <v>569</v>
      </c>
      <c r="D10">
        <v>100</v>
      </c>
      <c r="E10" t="s">
        <v>768</v>
      </c>
      <c r="F10" s="3">
        <v>16.920000000000002</v>
      </c>
      <c r="G10" s="3">
        <f t="shared" si="0"/>
        <v>16.920000000000002</v>
      </c>
    </row>
    <row r="11" spans="1:8" x14ac:dyDescent="0.25">
      <c r="A11" t="s">
        <v>769</v>
      </c>
      <c r="B11" t="s">
        <v>363</v>
      </c>
      <c r="C11" t="s">
        <v>569</v>
      </c>
      <c r="D11">
        <v>100</v>
      </c>
      <c r="E11" t="s">
        <v>770</v>
      </c>
      <c r="F11" s="3">
        <v>19.23</v>
      </c>
      <c r="G11" s="3">
        <f t="shared" si="0"/>
        <v>19.23</v>
      </c>
    </row>
    <row r="12" spans="1:8" x14ac:dyDescent="0.25">
      <c r="A12" t="s">
        <v>771</v>
      </c>
      <c r="B12" t="s">
        <v>366</v>
      </c>
      <c r="C12" t="s">
        <v>569</v>
      </c>
      <c r="D12">
        <v>100</v>
      </c>
      <c r="E12" t="s">
        <v>772</v>
      </c>
      <c r="F12" s="3">
        <v>7.82</v>
      </c>
      <c r="G12" s="3">
        <f t="shared" si="0"/>
        <v>7.82</v>
      </c>
      <c r="H12" s="3"/>
    </row>
    <row r="13" spans="1:8" x14ac:dyDescent="0.25">
      <c r="A13" t="s">
        <v>773</v>
      </c>
      <c r="B13" t="s">
        <v>399</v>
      </c>
      <c r="C13" t="s">
        <v>569</v>
      </c>
      <c r="D13">
        <v>100</v>
      </c>
      <c r="E13" t="s">
        <v>774</v>
      </c>
      <c r="F13" s="3">
        <v>21.31</v>
      </c>
      <c r="G13" s="3">
        <f t="shared" si="0"/>
        <v>21.31</v>
      </c>
    </row>
    <row r="14" spans="1:8" x14ac:dyDescent="0.25">
      <c r="A14" t="s">
        <v>775</v>
      </c>
      <c r="B14" t="s">
        <v>402</v>
      </c>
      <c r="C14" t="s">
        <v>569</v>
      </c>
      <c r="D14">
        <v>100</v>
      </c>
      <c r="E14" t="s">
        <v>776</v>
      </c>
      <c r="F14" s="3">
        <v>44.62</v>
      </c>
      <c r="G14" s="3">
        <f t="shared" si="0"/>
        <v>44.62</v>
      </c>
    </row>
    <row r="15" spans="1:8" x14ac:dyDescent="0.25">
      <c r="A15" t="s">
        <v>937</v>
      </c>
      <c r="B15" t="s">
        <v>412</v>
      </c>
      <c r="C15" t="s">
        <v>569</v>
      </c>
      <c r="D15">
        <v>100</v>
      </c>
      <c r="E15" t="s">
        <v>777</v>
      </c>
      <c r="F15" s="3">
        <v>30.3</v>
      </c>
      <c r="G15" s="3">
        <f t="shared" si="0"/>
        <v>30.3</v>
      </c>
    </row>
    <row r="16" spans="1:8" x14ac:dyDescent="0.25">
      <c r="A16" t="s">
        <v>778</v>
      </c>
      <c r="B16" t="s">
        <v>415</v>
      </c>
      <c r="C16" t="s">
        <v>569</v>
      </c>
      <c r="D16">
        <v>100</v>
      </c>
      <c r="E16" t="s">
        <v>780</v>
      </c>
      <c r="F16" s="3">
        <v>49.15</v>
      </c>
      <c r="G16" s="3">
        <f t="shared" si="0"/>
        <v>49.15</v>
      </c>
    </row>
    <row r="17" spans="1:7" x14ac:dyDescent="0.25">
      <c r="A17" t="s">
        <v>782</v>
      </c>
      <c r="B17" t="s">
        <v>418</v>
      </c>
      <c r="C17" t="s">
        <v>569</v>
      </c>
      <c r="D17">
        <v>50</v>
      </c>
      <c r="E17" t="s">
        <v>784</v>
      </c>
      <c r="F17" s="3">
        <v>78.19</v>
      </c>
      <c r="G17" s="3">
        <f t="shared" si="0"/>
        <v>78.19</v>
      </c>
    </row>
    <row r="20" spans="1:7" x14ac:dyDescent="0.25">
      <c r="A20" t="s">
        <v>785</v>
      </c>
    </row>
    <row r="21" spans="1:7" x14ac:dyDescent="0.25">
      <c r="B21" t="s">
        <v>211</v>
      </c>
      <c r="C21" t="s">
        <v>1</v>
      </c>
      <c r="D21" t="s">
        <v>760</v>
      </c>
      <c r="E21" t="s">
        <v>2</v>
      </c>
      <c r="F21" t="s">
        <v>761</v>
      </c>
      <c r="G21" s="3" t="s">
        <v>929</v>
      </c>
    </row>
    <row r="22" spans="1:7" x14ac:dyDescent="0.25">
      <c r="A22" t="s">
        <v>786</v>
      </c>
      <c r="B22" t="s">
        <v>213</v>
      </c>
      <c r="C22" t="s">
        <v>569</v>
      </c>
      <c r="D22">
        <v>100</v>
      </c>
      <c r="E22" t="s">
        <v>787</v>
      </c>
      <c r="F22" s="3">
        <v>24.31</v>
      </c>
      <c r="G22" s="3">
        <f>+F22</f>
        <v>24.31</v>
      </c>
    </row>
    <row r="23" spans="1:7" x14ac:dyDescent="0.25">
      <c r="A23" t="s">
        <v>788</v>
      </c>
      <c r="B23" t="s">
        <v>273</v>
      </c>
      <c r="C23" t="s">
        <v>569</v>
      </c>
      <c r="D23">
        <v>100</v>
      </c>
      <c r="E23" t="s">
        <v>789</v>
      </c>
      <c r="F23" s="3">
        <v>16.920000000000002</v>
      </c>
      <c r="G23" s="3">
        <f t="shared" ref="G23:G29" si="1">+F23</f>
        <v>16.920000000000002</v>
      </c>
    </row>
    <row r="24" spans="1:7" x14ac:dyDescent="0.25">
      <c r="A24" t="s">
        <v>790</v>
      </c>
      <c r="B24" t="s">
        <v>960</v>
      </c>
      <c r="C24" t="s">
        <v>569</v>
      </c>
      <c r="D24">
        <v>100</v>
      </c>
      <c r="E24" t="s">
        <v>791</v>
      </c>
      <c r="F24" s="3">
        <v>19.079999999999998</v>
      </c>
      <c r="G24" s="3">
        <f t="shared" si="1"/>
        <v>19.079999999999998</v>
      </c>
    </row>
    <row r="25" spans="1:7" x14ac:dyDescent="0.25">
      <c r="A25" t="s">
        <v>792</v>
      </c>
      <c r="B25" t="s">
        <v>280</v>
      </c>
      <c r="C25" t="s">
        <v>569</v>
      </c>
      <c r="D25">
        <v>100</v>
      </c>
      <c r="E25" t="s">
        <v>793</v>
      </c>
      <c r="F25" s="3">
        <v>27.31</v>
      </c>
      <c r="G25" s="3">
        <f t="shared" si="1"/>
        <v>27.31</v>
      </c>
    </row>
    <row r="26" spans="1:7" x14ac:dyDescent="0.25">
      <c r="A26" t="s">
        <v>794</v>
      </c>
      <c r="B26" t="s">
        <v>399</v>
      </c>
      <c r="C26" t="s">
        <v>569</v>
      </c>
      <c r="D26">
        <v>100</v>
      </c>
      <c r="E26" t="s">
        <v>795</v>
      </c>
      <c r="F26" s="3">
        <v>27.08</v>
      </c>
      <c r="G26" s="3">
        <f t="shared" si="1"/>
        <v>27.08</v>
      </c>
    </row>
    <row r="27" spans="1:7" x14ac:dyDescent="0.25">
      <c r="A27" t="s">
        <v>796</v>
      </c>
      <c r="B27" t="s">
        <v>402</v>
      </c>
      <c r="C27" t="s">
        <v>569</v>
      </c>
      <c r="D27">
        <v>100</v>
      </c>
      <c r="E27" t="s">
        <v>797</v>
      </c>
      <c r="F27" s="3">
        <v>50.77</v>
      </c>
      <c r="G27" s="3">
        <f t="shared" si="1"/>
        <v>50.77</v>
      </c>
    </row>
    <row r="28" spans="1:7" x14ac:dyDescent="0.25">
      <c r="A28" t="s">
        <v>798</v>
      </c>
      <c r="B28" t="s">
        <v>415</v>
      </c>
      <c r="C28" t="s">
        <v>569</v>
      </c>
      <c r="D28">
        <v>100</v>
      </c>
      <c r="E28" t="s">
        <v>799</v>
      </c>
      <c r="F28" s="3">
        <v>56.85</v>
      </c>
      <c r="G28" s="3">
        <f t="shared" si="1"/>
        <v>56.85</v>
      </c>
    </row>
    <row r="29" spans="1:7" x14ac:dyDescent="0.25">
      <c r="A29" t="s">
        <v>853</v>
      </c>
      <c r="B29" t="s">
        <v>418</v>
      </c>
      <c r="C29" t="s">
        <v>569</v>
      </c>
      <c r="D29">
        <v>50</v>
      </c>
      <c r="E29" t="s">
        <v>854</v>
      </c>
      <c r="F29" s="3">
        <v>85.12</v>
      </c>
      <c r="G29" s="3">
        <f t="shared" si="1"/>
        <v>85.12</v>
      </c>
    </row>
    <row r="31" spans="1:7" x14ac:dyDescent="0.25">
      <c r="A31" t="s">
        <v>800</v>
      </c>
      <c r="C31" t="s">
        <v>1</v>
      </c>
      <c r="E31" t="s">
        <v>2</v>
      </c>
      <c r="F31" t="s">
        <v>761</v>
      </c>
      <c r="G31" s="3" t="s">
        <v>929</v>
      </c>
    </row>
    <row r="32" spans="1:7" x14ac:dyDescent="0.25">
      <c r="A32" t="s">
        <v>801</v>
      </c>
      <c r="C32" t="s">
        <v>5</v>
      </c>
      <c r="E32" t="s">
        <v>802</v>
      </c>
      <c r="F32" s="3">
        <v>150</v>
      </c>
      <c r="G32" s="3">
        <f>+F32</f>
        <v>150</v>
      </c>
    </row>
    <row r="33" spans="1:7" x14ac:dyDescent="0.25">
      <c r="A33" t="s">
        <v>855</v>
      </c>
      <c r="C33" t="s">
        <v>5</v>
      </c>
      <c r="E33" t="s">
        <v>856</v>
      </c>
      <c r="F33" s="3">
        <v>40</v>
      </c>
      <c r="G33" s="3">
        <f>+F33</f>
        <v>40</v>
      </c>
    </row>
    <row r="35" spans="1:7" x14ac:dyDescent="0.25">
      <c r="A35" t="s">
        <v>803</v>
      </c>
    </row>
    <row r="36" spans="1:7" x14ac:dyDescent="0.25">
      <c r="B36" t="s">
        <v>211</v>
      </c>
      <c r="C36" t="s">
        <v>1</v>
      </c>
      <c r="D36" t="s">
        <v>760</v>
      </c>
      <c r="E36" t="s">
        <v>2</v>
      </c>
      <c r="F36" t="s">
        <v>761</v>
      </c>
      <c r="G36" s="3" t="s">
        <v>929</v>
      </c>
    </row>
    <row r="37" spans="1:7" x14ac:dyDescent="0.25">
      <c r="A37" t="s">
        <v>804</v>
      </c>
      <c r="B37" t="s">
        <v>779</v>
      </c>
      <c r="C37" t="s">
        <v>569</v>
      </c>
      <c r="D37">
        <v>100</v>
      </c>
      <c r="E37" t="s">
        <v>805</v>
      </c>
      <c r="F37" s="3">
        <v>20</v>
      </c>
      <c r="G37" s="3">
        <f>+F37</f>
        <v>20</v>
      </c>
    </row>
    <row r="38" spans="1:7" x14ac:dyDescent="0.25">
      <c r="A38" t="s">
        <v>804</v>
      </c>
      <c r="B38" t="s">
        <v>779</v>
      </c>
      <c r="C38" t="s">
        <v>569</v>
      </c>
      <c r="D38">
        <v>5000</v>
      </c>
      <c r="E38" t="s">
        <v>959</v>
      </c>
      <c r="F38" s="3">
        <v>846.15</v>
      </c>
      <c r="G38" s="3">
        <f t="shared" ref="G38:G41" si="2">+F38</f>
        <v>846.15</v>
      </c>
    </row>
    <row r="39" spans="1:7" x14ac:dyDescent="0.25">
      <c r="A39" t="s">
        <v>806</v>
      </c>
      <c r="B39" t="s">
        <v>781</v>
      </c>
      <c r="C39" t="s">
        <v>569</v>
      </c>
      <c r="D39">
        <v>100</v>
      </c>
      <c r="E39" t="s">
        <v>807</v>
      </c>
      <c r="F39" s="3">
        <v>21.54</v>
      </c>
      <c r="G39" s="3">
        <f t="shared" si="2"/>
        <v>21.54</v>
      </c>
    </row>
    <row r="40" spans="1:7" x14ac:dyDescent="0.25">
      <c r="A40" t="s">
        <v>806</v>
      </c>
      <c r="B40" t="s">
        <v>781</v>
      </c>
      <c r="C40" t="s">
        <v>569</v>
      </c>
      <c r="D40">
        <v>5000</v>
      </c>
      <c r="E40" t="s">
        <v>961</v>
      </c>
      <c r="F40" s="3">
        <v>923.08</v>
      </c>
      <c r="G40" s="3">
        <f t="shared" si="2"/>
        <v>923.08</v>
      </c>
    </row>
    <row r="41" spans="1:7" x14ac:dyDescent="0.25">
      <c r="A41" t="s">
        <v>808</v>
      </c>
      <c r="B41" t="s">
        <v>783</v>
      </c>
      <c r="C41" t="s">
        <v>569</v>
      </c>
      <c r="D41">
        <v>100</v>
      </c>
      <c r="E41" t="s">
        <v>809</v>
      </c>
      <c r="F41" s="3">
        <v>15.92</v>
      </c>
      <c r="G41" s="3">
        <f t="shared" si="2"/>
        <v>15.92</v>
      </c>
    </row>
    <row r="43" spans="1:7" x14ac:dyDescent="0.25">
      <c r="A43" t="s">
        <v>879</v>
      </c>
      <c r="C43" t="s">
        <v>1</v>
      </c>
      <c r="D43" t="s">
        <v>760</v>
      </c>
      <c r="E43" t="s">
        <v>2</v>
      </c>
      <c r="F43" t="s">
        <v>761</v>
      </c>
      <c r="G43" s="3" t="s">
        <v>929</v>
      </c>
    </row>
    <row r="44" spans="1:7" x14ac:dyDescent="0.25">
      <c r="A44" s="8" t="s">
        <v>896</v>
      </c>
      <c r="C44" t="s">
        <v>5</v>
      </c>
      <c r="E44" t="s">
        <v>895</v>
      </c>
      <c r="F44" s="3">
        <v>4</v>
      </c>
      <c r="G44" s="3">
        <f>+F44</f>
        <v>4</v>
      </c>
    </row>
    <row r="45" spans="1:7" x14ac:dyDescent="0.25">
      <c r="A45" s="8" t="s">
        <v>897</v>
      </c>
      <c r="C45" t="s">
        <v>5</v>
      </c>
      <c r="E45" t="s">
        <v>898</v>
      </c>
      <c r="F45" s="3">
        <v>6</v>
      </c>
      <c r="G45" s="3">
        <f t="shared" ref="G45:G47" si="3">+F45</f>
        <v>6</v>
      </c>
    </row>
    <row r="46" spans="1:7" x14ac:dyDescent="0.25">
      <c r="A46" s="8" t="s">
        <v>899</v>
      </c>
      <c r="C46" t="s">
        <v>5</v>
      </c>
      <c r="E46" t="s">
        <v>900</v>
      </c>
      <c r="F46" s="3">
        <v>4</v>
      </c>
      <c r="G46" s="3">
        <f t="shared" si="3"/>
        <v>4</v>
      </c>
    </row>
    <row r="47" spans="1:7" x14ac:dyDescent="0.25">
      <c r="A47" s="8" t="s">
        <v>901</v>
      </c>
      <c r="C47" t="s">
        <v>5</v>
      </c>
      <c r="E47" t="s">
        <v>902</v>
      </c>
      <c r="F47" s="3">
        <v>6</v>
      </c>
      <c r="G47" s="3">
        <f t="shared" si="3"/>
        <v>6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0000"/>
  </sheetPr>
  <dimension ref="A2:E28"/>
  <sheetViews>
    <sheetView zoomScaleNormal="100" workbookViewId="0"/>
  </sheetViews>
  <sheetFormatPr defaultRowHeight="15" x14ac:dyDescent="0.25"/>
  <cols>
    <col min="1" max="1" width="55.140625" customWidth="1"/>
    <col min="2" max="2" width="5" bestFit="1" customWidth="1"/>
    <col min="3" max="3" width="15.85546875" bestFit="1" customWidth="1"/>
    <col min="5" max="5" width="17.42578125" style="3" customWidth="1"/>
    <col min="6" max="6" width="24.85546875" bestFit="1" customWidth="1"/>
  </cols>
  <sheetData>
    <row r="2" spans="1:5" x14ac:dyDescent="0.25">
      <c r="A2" t="s">
        <v>810</v>
      </c>
    </row>
    <row r="3" spans="1:5" x14ac:dyDescent="0.25">
      <c r="A3" t="s">
        <v>811</v>
      </c>
    </row>
    <row r="4" spans="1:5" x14ac:dyDescent="0.25">
      <c r="A4" t="s">
        <v>812</v>
      </c>
      <c r="B4" t="s">
        <v>1</v>
      </c>
      <c r="C4" t="s">
        <v>2</v>
      </c>
      <c r="D4" t="s">
        <v>761</v>
      </c>
      <c r="E4" s="3" t="s">
        <v>929</v>
      </c>
    </row>
    <row r="5" spans="1:5" x14ac:dyDescent="0.25">
      <c r="A5" t="s">
        <v>813</v>
      </c>
      <c r="B5" t="s">
        <v>569</v>
      </c>
      <c r="C5" t="s">
        <v>814</v>
      </c>
      <c r="D5" s="3" t="s">
        <v>815</v>
      </c>
      <c r="E5" s="3" t="str">
        <f>+D5</f>
        <v>CALL</v>
      </c>
    </row>
    <row r="6" spans="1:5" x14ac:dyDescent="0.25">
      <c r="A6" t="s">
        <v>816</v>
      </c>
      <c r="B6" t="s">
        <v>5</v>
      </c>
      <c r="C6" t="s">
        <v>817</v>
      </c>
      <c r="D6" s="3">
        <v>200</v>
      </c>
      <c r="E6" s="3">
        <f t="shared" ref="E6:E7" si="0">+D6</f>
        <v>200</v>
      </c>
    </row>
    <row r="7" spans="1:5" x14ac:dyDescent="0.25">
      <c r="A7" t="s">
        <v>818</v>
      </c>
      <c r="B7" t="s">
        <v>5</v>
      </c>
      <c r="C7" t="s">
        <v>819</v>
      </c>
      <c r="D7" s="3">
        <v>100</v>
      </c>
      <c r="E7" s="3">
        <f t="shared" si="0"/>
        <v>100</v>
      </c>
    </row>
    <row r="9" spans="1:5" x14ac:dyDescent="0.25">
      <c r="A9" t="s">
        <v>800</v>
      </c>
      <c r="B9" t="s">
        <v>1</v>
      </c>
      <c r="C9" t="s">
        <v>2</v>
      </c>
      <c r="D9" t="s">
        <v>761</v>
      </c>
      <c r="E9" s="3" t="s">
        <v>929</v>
      </c>
    </row>
    <row r="10" spans="1:5" x14ac:dyDescent="0.25">
      <c r="A10" t="s">
        <v>801</v>
      </c>
      <c r="B10" t="s">
        <v>5</v>
      </c>
      <c r="C10" t="s">
        <v>802</v>
      </c>
      <c r="D10" s="3">
        <v>150</v>
      </c>
      <c r="E10" s="3">
        <f>+D10</f>
        <v>150</v>
      </c>
    </row>
    <row r="12" spans="1:5" x14ac:dyDescent="0.25">
      <c r="A12" t="s">
        <v>821</v>
      </c>
    </row>
    <row r="13" spans="1:5" x14ac:dyDescent="0.25">
      <c r="B13" t="s">
        <v>1</v>
      </c>
      <c r="D13" t="s">
        <v>761</v>
      </c>
      <c r="E13" s="3" t="s">
        <v>929</v>
      </c>
    </row>
    <row r="14" spans="1:5" x14ac:dyDescent="0.25">
      <c r="A14" t="s">
        <v>820</v>
      </c>
      <c r="B14" t="s">
        <v>5</v>
      </c>
      <c r="D14" s="3">
        <v>15</v>
      </c>
      <c r="E14" s="3">
        <f>+D14</f>
        <v>15</v>
      </c>
    </row>
    <row r="28" spans="3:3" x14ac:dyDescent="0.25">
      <c r="C28" t="s">
        <v>296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theme="9" tint="-0.249977111117893"/>
  </sheetPr>
  <dimension ref="A1:E19"/>
  <sheetViews>
    <sheetView topLeftCell="B1" zoomScaleNormal="100" workbookViewId="0">
      <selection activeCell="E24" sqref="E24"/>
    </sheetView>
  </sheetViews>
  <sheetFormatPr defaultRowHeight="15" x14ac:dyDescent="0.25"/>
  <cols>
    <col min="1" max="1" width="60" bestFit="1" customWidth="1"/>
    <col min="2" max="2" width="5" bestFit="1" customWidth="1"/>
    <col min="3" max="3" width="19.7109375" bestFit="1" customWidth="1"/>
    <col min="5" max="5" width="14.28515625" style="3" customWidth="1"/>
  </cols>
  <sheetData>
    <row r="1" spans="1:5" x14ac:dyDescent="0.25">
      <c r="A1" t="s">
        <v>822</v>
      </c>
    </row>
    <row r="2" spans="1:5" x14ac:dyDescent="0.25">
      <c r="B2" t="s">
        <v>1</v>
      </c>
      <c r="C2" t="s">
        <v>2</v>
      </c>
      <c r="D2" t="s">
        <v>761</v>
      </c>
      <c r="E2" s="3" t="s">
        <v>929</v>
      </c>
    </row>
    <row r="3" spans="1:5" x14ac:dyDescent="0.25">
      <c r="A3" t="s">
        <v>823</v>
      </c>
      <c r="B3" t="s">
        <v>5</v>
      </c>
      <c r="C3" t="s">
        <v>824</v>
      </c>
      <c r="D3" s="3">
        <v>67.239999999999995</v>
      </c>
      <c r="E3" s="3">
        <f>+D3</f>
        <v>67.239999999999995</v>
      </c>
    </row>
    <row r="4" spans="1:5" x14ac:dyDescent="0.25">
      <c r="A4" t="s">
        <v>825</v>
      </c>
      <c r="B4" t="s">
        <v>5</v>
      </c>
      <c r="C4" t="s">
        <v>826</v>
      </c>
      <c r="D4" s="3">
        <v>56.66</v>
      </c>
      <c r="E4" s="3">
        <f t="shared" ref="E4:E8" si="0">+D4</f>
        <v>56.66</v>
      </c>
    </row>
    <row r="5" spans="1:5" x14ac:dyDescent="0.25">
      <c r="A5" t="s">
        <v>827</v>
      </c>
      <c r="B5" t="s">
        <v>5</v>
      </c>
      <c r="C5" t="s">
        <v>828</v>
      </c>
      <c r="D5" s="3">
        <v>56.66</v>
      </c>
      <c r="E5" s="3">
        <f t="shared" si="0"/>
        <v>56.66</v>
      </c>
    </row>
    <row r="6" spans="1:5" x14ac:dyDescent="0.25">
      <c r="A6" t="s">
        <v>829</v>
      </c>
      <c r="B6" t="s">
        <v>5</v>
      </c>
      <c r="C6" t="s">
        <v>830</v>
      </c>
      <c r="D6" s="3">
        <v>67.239999999999995</v>
      </c>
      <c r="E6" s="3">
        <f t="shared" si="0"/>
        <v>67.239999999999995</v>
      </c>
    </row>
    <row r="7" spans="1:5" x14ac:dyDescent="0.25">
      <c r="A7" t="s">
        <v>831</v>
      </c>
      <c r="B7" t="s">
        <v>5</v>
      </c>
      <c r="C7" t="s">
        <v>832</v>
      </c>
      <c r="D7" s="3">
        <v>15.87</v>
      </c>
      <c r="E7" s="3">
        <f t="shared" si="0"/>
        <v>15.87</v>
      </c>
    </row>
    <row r="8" spans="1:5" x14ac:dyDescent="0.25">
      <c r="A8" t="s">
        <v>833</v>
      </c>
      <c r="B8" t="s">
        <v>5</v>
      </c>
      <c r="C8" t="s">
        <v>924</v>
      </c>
      <c r="D8" s="3">
        <v>76.599999999999994</v>
      </c>
      <c r="E8" s="3">
        <f t="shared" si="0"/>
        <v>76.599999999999994</v>
      </c>
    </row>
    <row r="10" spans="1:5" x14ac:dyDescent="0.25">
      <c r="A10" t="s">
        <v>834</v>
      </c>
    </row>
    <row r="11" spans="1:5" x14ac:dyDescent="0.25">
      <c r="B11" t="s">
        <v>1</v>
      </c>
      <c r="C11" t="s">
        <v>2</v>
      </c>
      <c r="D11" t="s">
        <v>761</v>
      </c>
      <c r="E11" s="3" t="s">
        <v>929</v>
      </c>
    </row>
    <row r="12" spans="1:5" x14ac:dyDescent="0.25">
      <c r="A12" t="s">
        <v>835</v>
      </c>
      <c r="B12" t="s">
        <v>5</v>
      </c>
      <c r="C12" t="s">
        <v>836</v>
      </c>
      <c r="D12" s="3">
        <v>18.5</v>
      </c>
      <c r="E12" s="3">
        <f>+D12</f>
        <v>18.5</v>
      </c>
    </row>
    <row r="14" spans="1:5" x14ac:dyDescent="0.25">
      <c r="A14" t="s">
        <v>837</v>
      </c>
    </row>
    <row r="15" spans="1:5" x14ac:dyDescent="0.25">
      <c r="A15" t="s">
        <v>838</v>
      </c>
      <c r="B15" t="s">
        <v>1</v>
      </c>
      <c r="C15" t="s">
        <v>2</v>
      </c>
      <c r="D15" t="s">
        <v>761</v>
      </c>
      <c r="E15" s="3" t="s">
        <v>929</v>
      </c>
    </row>
    <row r="16" spans="1:5" x14ac:dyDescent="0.25">
      <c r="A16" t="s">
        <v>914</v>
      </c>
      <c r="B16" t="s">
        <v>5</v>
      </c>
      <c r="C16" t="s">
        <v>915</v>
      </c>
      <c r="D16" s="3">
        <v>0.5</v>
      </c>
      <c r="E16" s="3">
        <f>+D16</f>
        <v>0.5</v>
      </c>
    </row>
    <row r="17" spans="1:5" x14ac:dyDescent="0.25">
      <c r="A17" t="s">
        <v>839</v>
      </c>
      <c r="B17" t="s">
        <v>5</v>
      </c>
      <c r="C17" t="s">
        <v>840</v>
      </c>
      <c r="D17" s="3">
        <v>0.3</v>
      </c>
      <c r="E17" s="3">
        <f t="shared" ref="E17:E19" si="1">+D17</f>
        <v>0.3</v>
      </c>
    </row>
    <row r="18" spans="1:5" x14ac:dyDescent="0.25">
      <c r="A18" t="s">
        <v>841</v>
      </c>
      <c r="B18" t="s">
        <v>5</v>
      </c>
      <c r="C18" t="s">
        <v>842</v>
      </c>
      <c r="D18" s="3">
        <v>0.3</v>
      </c>
      <c r="E18" s="3">
        <f t="shared" si="1"/>
        <v>0.3</v>
      </c>
    </row>
    <row r="19" spans="1:5" x14ac:dyDescent="0.25">
      <c r="A19" t="s">
        <v>843</v>
      </c>
      <c r="B19" t="s">
        <v>5</v>
      </c>
      <c r="C19" t="s">
        <v>844</v>
      </c>
      <c r="D19" s="3">
        <v>0.3</v>
      </c>
      <c r="E19" s="3">
        <f t="shared" si="1"/>
        <v>0.3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B5"/>
  <sheetViews>
    <sheetView workbookViewId="0">
      <selection activeCell="B5" sqref="B5"/>
    </sheetView>
  </sheetViews>
  <sheetFormatPr defaultRowHeight="15" x14ac:dyDescent="0.25"/>
  <cols>
    <col min="1" max="1" width="28.42578125" customWidth="1"/>
  </cols>
  <sheetData>
    <row r="2" spans="1:2" x14ac:dyDescent="0.25">
      <c r="A2" t="s">
        <v>857</v>
      </c>
      <c r="B2" s="4">
        <v>1.1198900000000001</v>
      </c>
    </row>
    <row r="3" spans="1:2" x14ac:dyDescent="0.25">
      <c r="A3" t="s">
        <v>858</v>
      </c>
    </row>
    <row r="5" spans="1:2" x14ac:dyDescent="0.25">
      <c r="B5" s="13">
        <v>1.085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6FBC0-F90B-4F51-826E-98679B9DC98B}">
  <dimension ref="A1:C4"/>
  <sheetViews>
    <sheetView tabSelected="1" zoomScale="400" zoomScaleNormal="400" workbookViewId="0">
      <selection activeCell="B4" sqref="B4"/>
    </sheetView>
  </sheetViews>
  <sheetFormatPr defaultRowHeight="15" x14ac:dyDescent="0.25"/>
  <cols>
    <col min="1" max="1" width="22.5703125" customWidth="1"/>
    <col min="2" max="2" width="10.7109375" bestFit="1" customWidth="1"/>
  </cols>
  <sheetData>
    <row r="1" spans="1:3" x14ac:dyDescent="0.25">
      <c r="B1" t="s">
        <v>928</v>
      </c>
      <c r="C1" t="s">
        <v>927</v>
      </c>
    </row>
    <row r="2" spans="1:3" x14ac:dyDescent="0.25">
      <c r="A2" t="s">
        <v>925</v>
      </c>
      <c r="B2" s="11">
        <v>0</v>
      </c>
      <c r="C2" s="10">
        <f>(100-B2)*0.01</f>
        <v>1</v>
      </c>
    </row>
    <row r="3" spans="1:3" x14ac:dyDescent="0.25">
      <c r="A3" t="s">
        <v>926</v>
      </c>
      <c r="B3" s="12">
        <v>0</v>
      </c>
      <c r="C3" s="10">
        <f t="shared" ref="C3" si="0">(100-B3)*0.01</f>
        <v>1</v>
      </c>
    </row>
    <row r="4" spans="1:3" x14ac:dyDescent="0.25">
      <c r="C4" s="1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</vt:i4>
      </vt:variant>
    </vt:vector>
  </HeadingPairs>
  <TitlesOfParts>
    <vt:vector size="34" baseType="lpstr">
      <vt:lpstr>WP-58</vt:lpstr>
      <vt:lpstr>WP-58-MIDRAIL</vt:lpstr>
      <vt:lpstr>WP-58-OPEN-MIDRAIL</vt:lpstr>
      <vt:lpstr>WP-SLAT</vt:lpstr>
      <vt:lpstr>WP-SLAT-MIDRAIL</vt:lpstr>
      <vt:lpstr>WP-FLEXRAIL</vt:lpstr>
      <vt:lpstr>COMPGLASS</vt:lpstr>
      <vt:lpstr>POSTS-SFC-MT</vt:lpstr>
      <vt:lpstr>POSTS-SFC-MT2</vt:lpstr>
      <vt:lpstr>POSTS-FASC</vt:lpstr>
      <vt:lpstr>POSTS-FASC-SLV</vt:lpstr>
      <vt:lpstr>LVL-SLVS&amp;PARTS-TOPRAIL</vt:lpstr>
      <vt:lpstr>STR-SLVS&amp;PMP-TOPRAIL</vt:lpstr>
      <vt:lpstr>WM-TOPRAIL</vt:lpstr>
      <vt:lpstr>WM-BTM-MID-DBLRAIL</vt:lpstr>
      <vt:lpstr>LVL-SLV-BTM-MID-DBLRAIL</vt:lpstr>
      <vt:lpstr>IN-SLV&amp;BTM-MIDRAIL-CLIPS</vt:lpstr>
      <vt:lpstr>GLS-INSRT-SB&amp;LGS</vt:lpstr>
      <vt:lpstr>HRAIL&amp;PARTS</vt:lpstr>
      <vt:lpstr>GATES</vt:lpstr>
      <vt:lpstr>INF-SFC-POSTS</vt:lpstr>
      <vt:lpstr>INF-FASC-POSTS</vt:lpstr>
      <vt:lpstr>INF-FASC-BPLATES</vt:lpstr>
      <vt:lpstr>INF-PARTS&amp;OPTS</vt:lpstr>
      <vt:lpstr>FASTENERS</vt:lpstr>
      <vt:lpstr>CLR-OPTS</vt:lpstr>
      <vt:lpstr>SMPLS&amp;BRCHR</vt:lpstr>
      <vt:lpstr>IAS_USE-&gt;</vt:lpstr>
      <vt:lpstr>Dealer Discount</vt:lpstr>
      <vt:lpstr>infdisc</vt:lpstr>
      <vt:lpstr>may</vt:lpstr>
      <vt:lpstr>netdisc</vt:lpstr>
      <vt:lpstr>six</vt:lpstr>
      <vt:lpstr>stddisc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Victory</dc:creator>
  <cp:lastModifiedBy>Mike Victory</cp:lastModifiedBy>
  <dcterms:created xsi:type="dcterms:W3CDTF">2014-12-31T21:11:59Z</dcterms:created>
  <dcterms:modified xsi:type="dcterms:W3CDTF">2025-05-12T23:55:11Z</dcterms:modified>
</cp:coreProperties>
</file>