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/>
  <workbookPr/>
  <mc:AlternateContent xmlns:mc="http://schemas.openxmlformats.org/markup-compatibility/2006">
    <mc:Choice Requires="x15">
      <x15ac:absPath xmlns:x15ac="http://schemas.microsoft.com/office/spreadsheetml/2010/11/ac" url="O:\iNNOVATIVE\Data\"/>
    </mc:Choice>
  </mc:AlternateContent>
  <xr:revisionPtr revIDLastSave="0" documentId="13_ncr:1_{A56C778B-2441-44AC-8E36-1F73C9FB8D89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Surface Mount" sheetId="1" r:id="rId1"/>
    <sheet name="Fascia Mount" sheetId="2" r:id="rId2"/>
    <sheet name="Custom Fascia Base Plat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3" l="1"/>
  <c r="F9" i="3" s="1"/>
  <c r="J6" i="3"/>
  <c r="M6" i="3"/>
  <c r="J7" i="3"/>
  <c r="A36" i="1"/>
  <c r="U16" i="1"/>
  <c r="U14" i="1"/>
  <c r="U11" i="1"/>
  <c r="U8" i="1"/>
  <c r="U7" i="1"/>
  <c r="I8" i="1"/>
  <c r="A59" i="2"/>
  <c r="G81" i="2"/>
  <c r="G80" i="2"/>
  <c r="E81" i="2"/>
  <c r="E80" i="2"/>
  <c r="D24" i="2"/>
  <c r="D23" i="2"/>
  <c r="D22" i="2"/>
  <c r="F10" i="3" l="1"/>
  <c r="F5" i="3"/>
  <c r="L6" i="3" s="1"/>
  <c r="J10" i="3" s="1"/>
  <c r="B22" i="3" s="1"/>
  <c r="F6" i="3"/>
  <c r="L7" i="3" s="1"/>
  <c r="J11" i="3" s="1"/>
  <c r="B23" i="3" s="1"/>
  <c r="D23" i="3" s="1"/>
  <c r="F7" i="3"/>
  <c r="F8" i="3"/>
  <c r="F15" i="1"/>
  <c r="F16" i="1"/>
  <c r="F17" i="1"/>
  <c r="H53" i="1"/>
  <c r="H49" i="1"/>
  <c r="G71" i="2"/>
  <c r="D22" i="3" l="1"/>
  <c r="G21" i="1"/>
  <c r="G20" i="1"/>
  <c r="G15" i="1"/>
  <c r="M39" i="1"/>
  <c r="C60" i="1" l="1"/>
  <c r="C55" i="1"/>
  <c r="H9" i="2"/>
  <c r="D10" i="2"/>
  <c r="E10" i="2" s="1"/>
  <c r="D12" i="2"/>
  <c r="B10" i="2"/>
  <c r="C10" i="2" s="1"/>
  <c r="H3" i="1" l="1"/>
  <c r="F29" i="1" s="1"/>
  <c r="N55" i="1" s="1"/>
  <c r="E11" i="1"/>
  <c r="F7" i="1"/>
  <c r="N60" i="1" l="1"/>
  <c r="N61" i="1" l="1"/>
  <c r="N57" i="1"/>
  <c r="N56" i="1"/>
  <c r="F59" i="1"/>
  <c r="G16" i="1" l="1"/>
  <c r="I23" i="2" l="1"/>
  <c r="J23" i="2" s="1"/>
  <c r="K16" i="2" l="1"/>
  <c r="F21" i="1"/>
  <c r="F20" i="1"/>
  <c r="F54" i="1"/>
  <c r="G19" i="1"/>
  <c r="K20" i="1" l="1"/>
  <c r="I20" i="1"/>
  <c r="I21" i="1"/>
  <c r="I23" i="1" s="1"/>
  <c r="K21" i="1"/>
  <c r="F24" i="1"/>
  <c r="C48" i="2"/>
  <c r="C49" i="2"/>
  <c r="B48" i="2"/>
  <c r="M20" i="1" l="1"/>
  <c r="M21" i="1" s="1"/>
  <c r="M22" i="1" s="1"/>
  <c r="F50" i="1" s="1"/>
  <c r="D48" i="2"/>
  <c r="C53" i="2"/>
  <c r="B53" i="2"/>
  <c r="C50" i="2"/>
  <c r="B49" i="2"/>
  <c r="D49" i="2" s="1"/>
  <c r="B50" i="2"/>
  <c r="H89" i="2"/>
  <c r="E88" i="2"/>
  <c r="E87" i="2"/>
  <c r="E53" i="1"/>
  <c r="E63" i="1"/>
  <c r="G75" i="2"/>
  <c r="E85" i="2"/>
  <c r="E84" i="2"/>
  <c r="I37" i="2"/>
  <c r="K37" i="2" s="1"/>
  <c r="C88" i="2"/>
  <c r="D88" i="2" s="1"/>
  <c r="C85" i="2"/>
  <c r="C84" i="2"/>
  <c r="C82" i="2"/>
  <c r="D82" i="2" s="1"/>
  <c r="C63" i="1"/>
  <c r="C79" i="2"/>
  <c r="C78" i="2"/>
  <c r="G86" i="2"/>
  <c r="G82" i="2"/>
  <c r="K21" i="2"/>
  <c r="K18" i="2"/>
  <c r="F86" i="2"/>
  <c r="F85" i="2"/>
  <c r="F84" i="2"/>
  <c r="F82" i="2"/>
  <c r="F79" i="2"/>
  <c r="F78" i="2"/>
  <c r="F77" i="2"/>
  <c r="F76" i="2"/>
  <c r="I33" i="2"/>
  <c r="F81" i="2" s="1"/>
  <c r="I32" i="2"/>
  <c r="F80" i="2" s="1"/>
  <c r="G72" i="2"/>
  <c r="G73" i="2"/>
  <c r="G74" i="2"/>
  <c r="I31" i="2"/>
  <c r="F75" i="2" s="1"/>
  <c r="E75" i="2"/>
  <c r="B25" i="2"/>
  <c r="B24" i="2"/>
  <c r="B23" i="2"/>
  <c r="B22" i="2"/>
  <c r="F51" i="1" l="1"/>
  <c r="D53" i="2"/>
  <c r="D50" i="2"/>
  <c r="D51" i="2" s="1"/>
  <c r="F83" i="2"/>
  <c r="H83" i="2" s="1"/>
  <c r="H81" i="2"/>
  <c r="H80" i="2"/>
  <c r="D85" i="2" l="1"/>
  <c r="D84" i="2"/>
  <c r="D79" i="2"/>
  <c r="H75" i="2" s="1"/>
  <c r="D78" i="2"/>
  <c r="H86" i="2"/>
  <c r="H82" i="2"/>
  <c r="I3" i="2"/>
  <c r="J7" i="2" s="1"/>
  <c r="I24" i="2"/>
  <c r="J24" i="2" s="1"/>
  <c r="F64" i="2"/>
  <c r="K20" i="2"/>
  <c r="K19" i="2"/>
  <c r="K17" i="2"/>
  <c r="K24" i="2" s="1"/>
  <c r="K23" i="2"/>
  <c r="M40" i="1"/>
  <c r="B18" i="2"/>
  <c r="K10" i="2"/>
  <c r="K9" i="2"/>
  <c r="D7" i="1"/>
  <c r="H10" i="2"/>
  <c r="I4" i="2"/>
  <c r="F67" i="2" s="1"/>
  <c r="I2" i="2"/>
  <c r="J6" i="2" s="1"/>
  <c r="D11" i="2"/>
  <c r="E11" i="2" s="1"/>
  <c r="E12" i="2"/>
  <c r="I79" i="2" l="1"/>
  <c r="I17" i="2"/>
  <c r="J2" i="2"/>
  <c r="I18" i="2"/>
  <c r="I16" i="2"/>
  <c r="O23" i="2"/>
  <c r="F74" i="2" s="1"/>
  <c r="H74" i="2" s="1"/>
  <c r="K2" i="2"/>
  <c r="I19" i="2"/>
  <c r="F66" i="2"/>
  <c r="H42" i="2"/>
  <c r="D89" i="2" s="1"/>
  <c r="F61" i="2"/>
  <c r="K11" i="2"/>
  <c r="K4" i="2" s="1"/>
  <c r="J4" i="2"/>
  <c r="I20" i="2"/>
  <c r="L23" i="2"/>
  <c r="F65" i="2"/>
  <c r="L24" i="2"/>
  <c r="H11" i="2"/>
  <c r="K3" i="2" s="1"/>
  <c r="I21" i="2"/>
  <c r="C19" i="2"/>
  <c r="J3" i="2"/>
  <c r="K67" i="1"/>
  <c r="I69" i="1" s="1"/>
  <c r="F68" i="2" l="1"/>
  <c r="F62" i="2"/>
  <c r="F63" i="2"/>
  <c r="O24" i="2"/>
  <c r="O26" i="2" s="1"/>
  <c r="O27" i="2" s="1"/>
  <c r="F72" i="2" s="1"/>
  <c r="I85" i="2"/>
  <c r="I76" i="2"/>
  <c r="I78" i="2"/>
  <c r="I77" i="2"/>
  <c r="I84" i="2"/>
  <c r="F20" i="2"/>
  <c r="F17" i="2"/>
  <c r="M3" i="2"/>
  <c r="G79" i="2" s="1"/>
  <c r="H79" i="2" s="1"/>
  <c r="M2" i="2"/>
  <c r="M4" i="2"/>
  <c r="M66" i="1"/>
  <c r="K62" i="1"/>
  <c r="I68" i="1"/>
  <c r="C66" i="1"/>
  <c r="D66" i="1" s="1"/>
  <c r="C65" i="1"/>
  <c r="D65" i="1" s="1"/>
  <c r="C68" i="1"/>
  <c r="C69" i="1"/>
  <c r="C67" i="1"/>
  <c r="K64" i="1"/>
  <c r="K63" i="1"/>
  <c r="K54" i="1"/>
  <c r="K56" i="1"/>
  <c r="H54" i="1"/>
  <c r="M41" i="1"/>
  <c r="F73" i="2" l="1"/>
  <c r="F18" i="2"/>
  <c r="E71" i="2" s="1"/>
  <c r="I54" i="2"/>
  <c r="J54" i="2"/>
  <c r="F21" i="2"/>
  <c r="G85" i="2"/>
  <c r="H85" i="2" s="1"/>
  <c r="G84" i="2"/>
  <c r="H84" i="2" s="1"/>
  <c r="G78" i="2"/>
  <c r="H78" i="2" s="1"/>
  <c r="G76" i="2"/>
  <c r="H76" i="2" s="1"/>
  <c r="G77" i="2"/>
  <c r="H77" i="2" s="1"/>
  <c r="M64" i="1"/>
  <c r="D67" i="1"/>
  <c r="D69" i="1"/>
  <c r="D68" i="1"/>
  <c r="I54" i="1"/>
  <c r="E64" i="1"/>
  <c r="K39" i="1"/>
  <c r="K38" i="1"/>
  <c r="K59" i="1"/>
  <c r="M59" i="1" s="1"/>
  <c r="K58" i="1"/>
  <c r="M58" i="1" s="1"/>
  <c r="K57" i="1"/>
  <c r="M57" i="1" s="1"/>
  <c r="M56" i="1"/>
  <c r="M54" i="1"/>
  <c r="K55" i="1"/>
  <c r="M55" i="1" s="1"/>
  <c r="H5" i="1"/>
  <c r="F18" i="1" s="1"/>
  <c r="J18" i="2" l="1"/>
  <c r="L18" i="2" s="1"/>
  <c r="J16" i="2"/>
  <c r="L16" i="2" s="1"/>
  <c r="J17" i="2"/>
  <c r="L17" i="2" s="1"/>
  <c r="J21" i="2"/>
  <c r="L21" i="2" s="1"/>
  <c r="J20" i="2"/>
  <c r="L20" i="2" s="1"/>
  <c r="J19" i="2"/>
  <c r="L19" i="2" s="1"/>
  <c r="L54" i="2"/>
  <c r="A58" i="2" s="1"/>
  <c r="H73" i="2"/>
  <c r="H72" i="2"/>
  <c r="F19" i="1"/>
  <c r="F40" i="1"/>
  <c r="K40" i="1"/>
  <c r="M60" i="1"/>
  <c r="F44" i="1"/>
  <c r="H51" i="1"/>
  <c r="F30" i="1" l="1"/>
  <c r="N58" i="1" s="1"/>
  <c r="F26" i="1"/>
  <c r="G26" i="1" s="1"/>
  <c r="O19" i="2"/>
  <c r="O16" i="2"/>
  <c r="F71" i="2" s="1"/>
  <c r="F46" i="1"/>
  <c r="A35" i="1"/>
  <c r="G22" i="1"/>
  <c r="F53" i="1" s="1"/>
  <c r="I19" i="1" l="1"/>
  <c r="G27" i="1"/>
  <c r="H19" i="1" s="1"/>
  <c r="H71" i="2"/>
  <c r="F87" i="2" s="1"/>
  <c r="G24" i="1"/>
  <c r="F42" i="1"/>
  <c r="F43" i="1"/>
  <c r="D60" i="1"/>
  <c r="D63" i="1"/>
  <c r="C61" i="1"/>
  <c r="D61" i="1" s="1"/>
  <c r="D55" i="1"/>
  <c r="C56" i="1"/>
  <c r="D56" i="1" s="1"/>
  <c r="C58" i="1"/>
  <c r="D58" i="1" s="1"/>
  <c r="H62" i="1"/>
  <c r="F61" i="1"/>
  <c r="F60" i="1"/>
  <c r="F58" i="1"/>
  <c r="F57" i="1"/>
  <c r="F56" i="1"/>
  <c r="F55" i="1"/>
  <c r="H50" i="1"/>
  <c r="H52" i="1"/>
  <c r="H59" i="1"/>
  <c r="E49" i="1" l="1"/>
  <c r="H15" i="1"/>
  <c r="K15" i="1" s="1"/>
  <c r="I16" i="1"/>
  <c r="L16" i="1" s="1"/>
  <c r="I15" i="1"/>
  <c r="L17" i="1"/>
  <c r="H16" i="1"/>
  <c r="K16" i="1" s="1"/>
  <c r="K17" i="1"/>
  <c r="K69" i="1"/>
  <c r="F52" i="1"/>
  <c r="I52" i="1" s="1"/>
  <c r="F62" i="1"/>
  <c r="I62" i="1" s="1"/>
  <c r="I59" i="1"/>
  <c r="K19" i="1" l="1"/>
  <c r="H4" i="1"/>
  <c r="F45" i="1" s="1"/>
  <c r="F39" i="1"/>
  <c r="F8" i="1"/>
  <c r="D8" i="1"/>
  <c r="C11" i="1"/>
  <c r="C12" i="1" s="1"/>
  <c r="E12" i="1"/>
  <c r="I5" i="1" s="1"/>
  <c r="I4" i="1" l="1"/>
  <c r="I51" i="1"/>
  <c r="F41" i="1"/>
  <c r="F9" i="1"/>
  <c r="J5" i="1" s="1"/>
  <c r="L15" i="1"/>
  <c r="L19" i="1" s="1"/>
  <c r="F49" i="1" s="1"/>
  <c r="D9" i="1"/>
  <c r="J4" i="1" s="1"/>
  <c r="B8" i="1"/>
  <c r="B9" i="1" s="1"/>
  <c r="B11" i="1"/>
  <c r="B12" i="1" s="1"/>
  <c r="I3" i="1" s="1"/>
  <c r="I50" i="1" l="1"/>
  <c r="L5" i="1"/>
  <c r="H58" i="1" s="1"/>
  <c r="I58" i="1" s="1"/>
  <c r="J3" i="1"/>
  <c r="I49" i="1" l="1"/>
  <c r="I53" i="1"/>
  <c r="L3" i="1"/>
  <c r="L4" i="1"/>
  <c r="H60" i="1" l="1"/>
  <c r="I60" i="1" s="1"/>
  <c r="H61" i="1"/>
  <c r="I61" i="1" s="1"/>
  <c r="H57" i="1"/>
  <c r="I57" i="1" s="1"/>
  <c r="H56" i="1"/>
  <c r="I56" i="1" s="1"/>
  <c r="H55" i="1"/>
  <c r="I55" i="1" s="1"/>
  <c r="F63" i="1" l="1"/>
</calcChain>
</file>

<file path=xl/sharedStrings.xml><?xml version="1.0" encoding="utf-8"?>
<sst xmlns="http://schemas.openxmlformats.org/spreadsheetml/2006/main" count="386" uniqueCount="240">
  <si>
    <t>Painted Infinity</t>
  </si>
  <si>
    <t>List Price Calculations - Surface</t>
  </si>
  <si>
    <t>6" Diff</t>
  </si>
  <si>
    <t>Per Inch</t>
  </si>
  <si>
    <t>Rail Height</t>
  </si>
  <si>
    <t># of Mid Posts</t>
  </si>
  <si>
    <t># of End Posts</t>
  </si>
  <si>
    <t># of Wall Tracks</t>
  </si>
  <si>
    <t>Discount Level</t>
  </si>
  <si>
    <t>Gasket 12mm (12 Ft Lengths)</t>
  </si>
  <si>
    <t>Setting Block (10 Ft Length)</t>
  </si>
  <si>
    <t>Glass Wedge 12mm (3" Piece)</t>
  </si>
  <si>
    <t>End Caps</t>
  </si>
  <si>
    <t>List</t>
  </si>
  <si>
    <t>Mark Up</t>
  </si>
  <si>
    <t>Post Height</t>
  </si>
  <si>
    <t>MAX</t>
  </si>
  <si>
    <t>Calc "A"</t>
  </si>
  <si>
    <t>Calc "B"</t>
  </si>
  <si>
    <t>2 1/2" Infinity</t>
  </si>
  <si>
    <t>Wall Track</t>
  </si>
  <si>
    <t>Infinity Post</t>
  </si>
  <si>
    <t>2 1/2" Post</t>
  </si>
  <si>
    <t>10" Diff</t>
  </si>
  <si>
    <t>24" Tall Infinity Posts</t>
  </si>
  <si>
    <t>34" Tall Infinity Posts</t>
  </si>
  <si>
    <t>40" Tall Infinity Posts</t>
  </si>
  <si>
    <t xml:space="preserve"> Material Cost</t>
  </si>
  <si>
    <t>Paint Cost Inch</t>
  </si>
  <si>
    <t>Glass Wedge 10mm (4" Piece)</t>
  </si>
  <si>
    <t>Setting Block (1 1/2" Pieces)</t>
  </si>
  <si>
    <t>Vinyl Cut Size</t>
  </si>
  <si>
    <t>End Post</t>
  </si>
  <si>
    <t># of Pieces</t>
  </si>
  <si>
    <t>Cuts Per length</t>
  </si>
  <si>
    <t>10mm</t>
  </si>
  <si>
    <t>12mm</t>
  </si>
  <si>
    <t># of Lengths</t>
  </si>
  <si>
    <t>Total</t>
  </si>
  <si>
    <t>Glass Wedge</t>
  </si>
  <si>
    <t>Bottom Glass Gap From Deck to Bottom of Glass</t>
  </si>
  <si>
    <t>Cost (Ea)</t>
  </si>
  <si>
    <t>Top Glass Reveal From Top of Post to Top of Glass</t>
  </si>
  <si>
    <t># of Inside Corner Posts</t>
  </si>
  <si>
    <t># of Outside Corner Posts</t>
  </si>
  <si>
    <t>Infinity Outside Corner Post</t>
  </si>
  <si>
    <t>Infinity Wall Tracks</t>
  </si>
  <si>
    <t>2 1/2" Post Height</t>
  </si>
  <si>
    <t>2 1/2" Post Caps</t>
  </si>
  <si>
    <t>Remove Track From Post</t>
  </si>
  <si>
    <t>Add Welded Surface Base</t>
  </si>
  <si>
    <t>Add Welded Extruded Side Mount 1.9 Pipe</t>
  </si>
  <si>
    <t>Setting Blocks Infinity</t>
  </si>
  <si>
    <t>Setting Blocks Infinity (1/4" Base)</t>
  </si>
  <si>
    <t>Setting Block (Per Ft)</t>
  </si>
  <si>
    <t>Total 1 1/2" Setting Blocks</t>
  </si>
  <si>
    <t>Railing Details</t>
  </si>
  <si>
    <t>Infinity Inside Corner Post</t>
  </si>
  <si>
    <t>Quantities</t>
  </si>
  <si>
    <t>QTY</t>
  </si>
  <si>
    <t>Dealer Name</t>
  </si>
  <si>
    <t xml:space="preserve">Color: </t>
  </si>
  <si>
    <t>Infinity Mid Post</t>
  </si>
  <si>
    <t>10mm Glass panel Insert</t>
  </si>
  <si>
    <t>Infinity Post Height</t>
  </si>
  <si>
    <t>Wall Track Height</t>
  </si>
  <si>
    <t>Post Glass Panel</t>
  </si>
  <si>
    <t>Length of End Post Insert For Post</t>
  </si>
  <si>
    <t>Length of Glass Panel Insert For Track</t>
  </si>
  <si>
    <t>Wall Track Panel 10mm</t>
  </si>
  <si>
    <t>Wall Track Panel 12mm</t>
  </si>
  <si>
    <t>Add Ons</t>
  </si>
  <si>
    <t>Cut Down One Track</t>
  </si>
  <si>
    <t>Custom</t>
  </si>
  <si>
    <t>Job Reference</t>
  </si>
  <si>
    <t>Innovative Series Beige</t>
  </si>
  <si>
    <t>Innovative Series Black</t>
  </si>
  <si>
    <t>Innovative Series Coastal Grey</t>
  </si>
  <si>
    <t>Innovative Series Hartford Green</t>
  </si>
  <si>
    <t>Innovative Series Light Ivory</t>
  </si>
  <si>
    <t>Innovative Series Oyster Grey</t>
  </si>
  <si>
    <t>Innovative Series Phantom Bronze</t>
  </si>
  <si>
    <t>Innovative Series Rideau Brown</t>
  </si>
  <si>
    <t>Innovative Series Sandalwood</t>
  </si>
  <si>
    <t>Innovative Series Silver Matte</t>
  </si>
  <si>
    <t>Innovative Series Textured Black</t>
  </si>
  <si>
    <t>Innovative Series White</t>
  </si>
  <si>
    <t>More Add Ons Than Items To Be Added To</t>
  </si>
  <si>
    <t>Glass Thickness Needs To Be Changed</t>
  </si>
  <si>
    <t>Warning, Large Bottom Gap, Ensure No Code Violations</t>
  </si>
  <si>
    <t>Base Plate Gaskets</t>
  </si>
  <si>
    <t>Yes</t>
  </si>
  <si>
    <t>No</t>
  </si>
  <si>
    <t>Outside Base Plate Covers</t>
  </si>
  <si>
    <t>Mid Base Plate Covers</t>
  </si>
  <si>
    <t>Inside Base Plate Covers</t>
  </si>
  <si>
    <t>Mid Base Plate cover</t>
  </si>
  <si>
    <t>Outside Base Plate cover</t>
  </si>
  <si>
    <t>Inside Base Plate Cover</t>
  </si>
  <si>
    <t>Accessories</t>
  </si>
  <si>
    <t>Drink Holders</t>
  </si>
  <si>
    <t>Glass Shelf Kits</t>
  </si>
  <si>
    <t>Infinity Glass Shelf Kit</t>
  </si>
  <si>
    <t>Number of Wall Fasteners Required (Not Included)</t>
  </si>
  <si>
    <t>Number of Deck Fasteners Required (Not Included)</t>
  </si>
  <si>
    <t>4" X 4" Base Plate Gaskets</t>
  </si>
  <si>
    <t>Warning, More Base Plate Covers Than 4"X4" Base Plates</t>
  </si>
  <si>
    <t>Recap of Materials to Order (Not Including Add Ons and Accessories)</t>
  </si>
  <si>
    <t>List of Material Details</t>
  </si>
  <si>
    <t>32"</t>
  </si>
  <si>
    <t>36"</t>
  </si>
  <si>
    <t>42"</t>
  </si>
  <si>
    <t>26"</t>
  </si>
  <si>
    <t>48"</t>
  </si>
  <si>
    <t>Cost Difference Per 6"</t>
  </si>
  <si>
    <t>Cost Difference Per 10"</t>
  </si>
  <si>
    <t>Infinity</t>
  </si>
  <si>
    <t>\</t>
  </si>
  <si>
    <t>Price Type A</t>
  </si>
  <si>
    <t>Data Validation</t>
  </si>
  <si>
    <t>Glass Thickness</t>
  </si>
  <si>
    <t>Price Type B</t>
  </si>
  <si>
    <t>Distance From Top of Base Plate to Deck Level</t>
  </si>
  <si>
    <t>2 1/2"</t>
  </si>
  <si>
    <t>Infinity Post Cut Size</t>
  </si>
  <si>
    <t>List Price</t>
  </si>
  <si>
    <t>Paint Cost Per Inch</t>
  </si>
  <si>
    <t>Glass Reveal</t>
  </si>
  <si>
    <t>Bottom Gap</t>
  </si>
  <si>
    <t>Top of Base to Deck</t>
  </si>
  <si>
    <t>Cost Difference Per Inch</t>
  </si>
  <si>
    <t>Glass Insert Calculations</t>
  </si>
  <si>
    <t>End</t>
  </si>
  <si>
    <t>Post</t>
  </si>
  <si>
    <t>track</t>
  </si>
  <si>
    <t>Cut Size</t>
  </si>
  <si>
    <t>Cuts Per Length</t>
  </si>
  <si>
    <t>QTY Needed</t>
  </si>
  <si>
    <t>Lengths Needed</t>
  </si>
  <si>
    <t>10mm Total</t>
  </si>
  <si>
    <t>12mm Total</t>
  </si>
  <si>
    <t>Setting Blocks</t>
  </si>
  <si>
    <t>Track</t>
  </si>
  <si>
    <t>Cuts Per Ft</t>
  </si>
  <si>
    <t>Footage Needed</t>
  </si>
  <si>
    <t>1.5 Cut Pieces</t>
  </si>
  <si>
    <t>Length of Setting Block For Posts</t>
  </si>
  <si>
    <t>Length of Setting Block For Tracks</t>
  </si>
  <si>
    <t>Footage</t>
  </si>
  <si>
    <t>10 Ft Lengths</t>
  </si>
  <si>
    <t>Left Over</t>
  </si>
  <si>
    <t>Fascia Offset</t>
  </si>
  <si>
    <t># of 2.5" End Left Posts</t>
  </si>
  <si>
    <t># of 2.5" End Right Posts</t>
  </si>
  <si>
    <t>Fascia Offset (0.5" Standard, Less than 2.5")</t>
  </si>
  <si>
    <t>Add 5" X 5" X 0.5" Base Plate to Surface Mount Infinity Post</t>
  </si>
  <si>
    <t>2.5" End Left Posts</t>
  </si>
  <si>
    <t>2.5" End Right Posts</t>
  </si>
  <si>
    <t>2.5" Post Caps</t>
  </si>
  <si>
    <t>Add 5" X 5" X 0.5" Base Plate to Surface Mount 2.5" Post</t>
  </si>
  <si>
    <t>2.5" Post Height</t>
  </si>
  <si>
    <t>0.5" Base Plate Setting Block Height</t>
  </si>
  <si>
    <t>0.25" Base Plate Setting Block Height</t>
  </si>
  <si>
    <t>Setting Block (1.5" Pieces)</t>
  </si>
  <si>
    <t>Remove Tracks</t>
  </si>
  <si>
    <t>Cut Down Tracks</t>
  </si>
  <si>
    <t>Welded 1.9 Side Mounts</t>
  </si>
  <si>
    <t>Neo 80 Duro/PSA Base Plate Shims - 0.25" Thick</t>
  </si>
  <si>
    <t>Neo 80 Duro/PSA Shims</t>
  </si>
  <si>
    <t>Mid/Inside Plates</t>
  </si>
  <si>
    <t>Outside Plates</t>
  </si>
  <si>
    <t>Offset 2.5" Post</t>
  </si>
  <si>
    <t>Offset Price</t>
  </si>
  <si>
    <t>0.5" Base Price</t>
  </si>
  <si>
    <t>List Add on For Offset Post</t>
  </si>
  <si>
    <t>Length of Glass Insert For Post</t>
  </si>
  <si>
    <t>Length of Glass Insert For Track</t>
  </si>
  <si>
    <t>Wall Track Screws</t>
  </si>
  <si>
    <t>#10 X 3/4" S.S. Tek Screws</t>
  </si>
  <si>
    <t>Error Tables</t>
  </si>
  <si>
    <t>Ship Via Courier</t>
  </si>
  <si>
    <t>Biggest Cut Length</t>
  </si>
  <si>
    <t>Gasket 12mm (12 Ft Lengths) Cut</t>
  </si>
  <si>
    <t>PAINT COST</t>
  </si>
  <si>
    <t>Paint Type A</t>
  </si>
  <si>
    <t>Paint Cost</t>
  </si>
  <si>
    <t>7/16" Offset Plate Mid/Inside</t>
  </si>
  <si>
    <t>7/16" Offset Plate Outside</t>
  </si>
  <si>
    <t>Custom Offset Plate Mid/Inside</t>
  </si>
  <si>
    <t>Custom Offset Plate Outside</t>
  </si>
  <si>
    <t>Glass Thickness 12mm or 13mm</t>
  </si>
  <si>
    <t>Gasket 13mm (10 Ft Lengths)</t>
  </si>
  <si>
    <t>Gasket 13mm (10 Ft Lengths) Cut</t>
  </si>
  <si>
    <t>Glass Thickness 13mm or 12mm</t>
  </si>
  <si>
    <t>1 1/2" Offset Plate Mid/Inside</t>
  </si>
  <si>
    <t>1 1/2" Offset Plate Outside</t>
  </si>
  <si>
    <t>FASCIA MOUNT INFINITY CALCULATOR - Added 5.65% Increase - Feb 15th 2021</t>
  </si>
  <si>
    <t>SURFACE MOUNT INFINITY CALCULATOR - Added 5.65% Increase Feb 15th 2021</t>
  </si>
  <si>
    <t>Offset</t>
  </si>
  <si>
    <t>Plate Height</t>
  </si>
  <si>
    <t>Custom Height Infinity Fascia Base Plates</t>
  </si>
  <si>
    <t>Cap - Infinity Fascia Post Base</t>
  </si>
  <si>
    <t>Labour - Per Minute</t>
  </si>
  <si>
    <t>Paint</t>
  </si>
  <si>
    <t>Item</t>
  </si>
  <si>
    <t>Cost</t>
  </si>
  <si>
    <t>Standard Markup</t>
  </si>
  <si>
    <t>Custom Markup</t>
  </si>
  <si>
    <t>Inline 7/16" offset Base Plate Material</t>
  </si>
  <si>
    <t>Inline 1 1/2" Offset Base Plate Material</t>
  </si>
  <si>
    <t>Offsets</t>
  </si>
  <si>
    <t>2"≤ Custom &lt;3"</t>
  </si>
  <si>
    <t>Outside 7/16" Offset Base Plate Material</t>
  </si>
  <si>
    <t>Labour</t>
  </si>
  <si>
    <t>MPLFINFLT1</t>
  </si>
  <si>
    <t>MPLFINFLT2</t>
  </si>
  <si>
    <t>MPLFINFLT3</t>
  </si>
  <si>
    <t>MPLFINFLT4</t>
  </si>
  <si>
    <t>MPLFINFLTCUS</t>
  </si>
  <si>
    <t>MPLFINFLTCUSO</t>
  </si>
  <si>
    <t># of Holes Per Plate</t>
  </si>
  <si>
    <t>Custom &lt; 1 3/4"</t>
  </si>
  <si>
    <t>Material Cost</t>
  </si>
  <si>
    <t>2 1/2" X 1 1/2" X 1/4" Angle Bar</t>
  </si>
  <si>
    <t>Inline</t>
  </si>
  <si>
    <t>Outside</t>
  </si>
  <si>
    <t>Outside 1 1/2" Offset Base Plate Material</t>
  </si>
  <si>
    <t>Base</t>
  </si>
  <si>
    <t>Per Extra Hole</t>
  </si>
  <si>
    <t>3" X 1/4" Flat bar</t>
  </si>
  <si>
    <t>2" X 1/4" Flat bar</t>
  </si>
  <si>
    <t>Labour Cost</t>
  </si>
  <si>
    <t>Calculated</t>
  </si>
  <si>
    <t>Total Cost</t>
  </si>
  <si>
    <t>Inline Plate</t>
  </si>
  <si>
    <t>Outside Plate</t>
  </si>
  <si>
    <t>Discount</t>
  </si>
  <si>
    <t>Net Price</t>
  </si>
  <si>
    <t>Remove Mounting Surface</t>
  </si>
  <si>
    <t>Amount of Mounting Surface to Remove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</si>
</sst>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&quot;$&quot;#,##0.00"/>
    <numFmt numFmtId="166" formatCode="0.0%"/>
    <numFmt numFmtId="167" formatCode="#\ ??/16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0" applyNumberFormat="1" applyAlignment="1">
      <alignment horizontal="center" wrapText="1"/>
    </xf>
    <xf numFmtId="165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 wrapText="1"/>
    </xf>
    <xf numFmtId="165" fontId="0" fillId="0" borderId="2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8" xfId="0" applyFont="1" applyBorder="1"/>
    <xf numFmtId="0" fontId="2" fillId="0" borderId="8" xfId="0" applyFont="1" applyBorder="1" applyAlignment="1">
      <alignment wrapText="1"/>
    </xf>
    <xf numFmtId="0" fontId="0" fillId="2" borderId="2" xfId="0" applyFill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0" xfId="0" applyFont="1" applyFill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0" borderId="11" xfId="0" applyBorder="1" applyAlignment="1">
      <alignment horizontal="center"/>
    </xf>
    <xf numFmtId="0" fontId="3" fillId="0" borderId="4" xfId="0" applyFont="1" applyBorder="1"/>
    <xf numFmtId="0" fontId="0" fillId="0" borderId="8" xfId="0" applyBorder="1" applyAlignment="1">
      <alignment horizontal="center"/>
    </xf>
    <xf numFmtId="0" fontId="4" fillId="0" borderId="0" xfId="0" applyFont="1"/>
    <xf numFmtId="165" fontId="0" fillId="0" borderId="3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13" xfId="0" applyFont="1" applyBorder="1" applyAlignment="1">
      <alignment horizontal="center"/>
    </xf>
    <xf numFmtId="166" fontId="0" fillId="2" borderId="13" xfId="0" applyNumberFormat="1" applyFill="1" applyBorder="1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wrapText="1"/>
    </xf>
    <xf numFmtId="165" fontId="0" fillId="0" borderId="0" xfId="1" applyNumberFormat="1" applyFont="1" applyAlignment="1">
      <alignment horizontal="center"/>
    </xf>
    <xf numFmtId="0" fontId="0" fillId="2" borderId="8" xfId="0" applyFill="1" applyBorder="1" applyAlignment="1">
      <alignment horizontal="center"/>
    </xf>
    <xf numFmtId="0" fontId="1" fillId="2" borderId="3" xfId="0" applyFont="1" applyFill="1" applyBorder="1" applyAlignment="1" applyProtection="1">
      <alignment horizontal="center"/>
      <protection locked="0"/>
    </xf>
    <xf numFmtId="0" fontId="0" fillId="0" borderId="2" xfId="0" applyBorder="1"/>
    <xf numFmtId="0" fontId="2" fillId="0" borderId="0" xfId="0" applyFont="1"/>
    <xf numFmtId="2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3" fillId="0" borderId="2" xfId="0" applyFont="1" applyBorder="1"/>
    <xf numFmtId="0" fontId="3" fillId="0" borderId="9" xfId="0" applyFont="1" applyBorder="1"/>
    <xf numFmtId="164" fontId="0" fillId="0" borderId="0" xfId="1" applyFont="1"/>
    <xf numFmtId="164" fontId="0" fillId="0" borderId="0" xfId="1" applyFont="1" applyAlignment="1">
      <alignment horizontal="center"/>
    </xf>
    <xf numFmtId="12" fontId="0" fillId="0" borderId="0" xfId="0" applyNumberFormat="1"/>
    <xf numFmtId="165" fontId="0" fillId="3" borderId="0" xfId="0" applyNumberFormat="1" applyFill="1" applyAlignment="1">
      <alignment horizontal="center"/>
    </xf>
    <xf numFmtId="165" fontId="0" fillId="3" borderId="0" xfId="0" applyNumberFormat="1" applyFill="1" applyAlignment="1">
      <alignment horizontal="center" wrapText="1"/>
    </xf>
    <xf numFmtId="2" fontId="0" fillId="0" borderId="0" xfId="0" applyNumberFormat="1"/>
    <xf numFmtId="0" fontId="3" fillId="0" borderId="0" xfId="0" applyFont="1" applyAlignment="1">
      <alignment horizontal="center"/>
    </xf>
    <xf numFmtId="167" fontId="0" fillId="0" borderId="0" xfId="0" applyNumberFormat="1" applyAlignment="1">
      <alignment horizontal="center"/>
    </xf>
    <xf numFmtId="12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6" fontId="0" fillId="2" borderId="0" xfId="2" applyNumberFormat="1" applyFont="1" applyFill="1" applyAlignment="1">
      <alignment horizontal="center"/>
    </xf>
    <xf numFmtId="0" fontId="0" fillId="0" borderId="0" xfId="0" applyAlignment="1">
      <alignment horizontal="right"/>
    </xf>
    <xf numFmtId="2" fontId="0" fillId="2" borderId="0" xfId="2" applyNumberFormat="1" applyFont="1" applyFill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6" xfId="0" applyFont="1" applyBorder="1" applyAlignment="1">
      <alignment horizontal="center" wrapText="1"/>
    </xf>
    <xf numFmtId="0" fontId="2" fillId="0" borderId="4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wrapText="1"/>
    </xf>
    <xf numFmtId="0" fontId="2" fillId="0" borderId="6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0" fillId="0" borderId="4" xfId="0" applyBorder="1" applyAlignment="1">
      <alignment horizontal="center" wrapText="1"/>
    </xf>
    <xf numFmtId="0" fontId="0" fillId="2" borderId="10" xfId="0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5"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69"/>
  <sheetViews>
    <sheetView showRuler="0" showWhiteSpace="0" topLeftCell="A34" zoomScaleNormal="100" workbookViewId="0">
      <selection activeCell="D52" sqref="D52"/>
    </sheetView>
  </sheetViews>
  <sheetFormatPr defaultColWidth="6.42578125" defaultRowHeight="15" x14ac:dyDescent="0.25"/>
  <cols>
    <col min="1" max="1" width="27.7109375" style="1" customWidth="1"/>
    <col min="2" max="3" width="8.7109375" style="1" customWidth="1"/>
    <col min="4" max="4" width="15.7109375" style="1" customWidth="1"/>
    <col min="5" max="5" width="34.7109375" style="1" customWidth="1"/>
    <col min="6" max="6" width="8.7109375" style="1" customWidth="1"/>
    <col min="7" max="7" width="8.7109375" style="1" hidden="1" customWidth="1"/>
    <col min="8" max="8" width="8.7109375" style="1" customWidth="1"/>
    <col min="9" max="9" width="15.7109375" style="1" customWidth="1"/>
    <col min="10" max="10" width="2.140625" style="1" customWidth="1"/>
    <col min="11" max="13" width="9.140625" style="1" hidden="1" customWidth="1"/>
    <col min="14" max="19" width="9.140625" style="1" customWidth="1"/>
    <col min="20" max="20" width="1.7109375" style="1" customWidth="1"/>
    <col min="21" max="21" width="6.42578125" style="1" customWidth="1"/>
    <col min="22" max="16384" width="6.42578125" style="1"/>
  </cols>
  <sheetData>
    <row r="1" spans="1:21" hidden="1" x14ac:dyDescent="0.25">
      <c r="A1" s="75" t="s">
        <v>1</v>
      </c>
      <c r="B1" s="75"/>
    </row>
    <row r="2" spans="1:21" s="2" customFormat="1" ht="105" hidden="1" x14ac:dyDescent="0.25">
      <c r="A2" s="10"/>
      <c r="B2" s="9" t="s">
        <v>0</v>
      </c>
      <c r="C2" s="9" t="s">
        <v>19</v>
      </c>
      <c r="D2" s="9"/>
      <c r="E2" s="9" t="s">
        <v>20</v>
      </c>
      <c r="F2" s="9"/>
      <c r="G2" s="9"/>
      <c r="H2" s="9" t="s">
        <v>15</v>
      </c>
      <c r="I2" s="9" t="s">
        <v>17</v>
      </c>
      <c r="J2" s="9" t="s">
        <v>18</v>
      </c>
      <c r="K2" s="9"/>
      <c r="L2" s="12" t="s">
        <v>16</v>
      </c>
      <c r="N2" s="2">
        <v>13</v>
      </c>
      <c r="O2" s="2">
        <v>12</v>
      </c>
    </row>
    <row r="3" spans="1:21" s="2" customFormat="1" ht="30" hidden="1" x14ac:dyDescent="0.25">
      <c r="A3" s="3" t="s">
        <v>24</v>
      </c>
      <c r="B3" s="57">
        <v>187.42310000000001</v>
      </c>
      <c r="D3" s="57">
        <v>1.0565</v>
      </c>
      <c r="G3" s="2" t="s">
        <v>21</v>
      </c>
      <c r="H3" s="2">
        <f>D38-D39</f>
        <v>40</v>
      </c>
      <c r="I3" s="6">
        <f>($H$3-34)*B12+B4</f>
        <v>212.94814</v>
      </c>
      <c r="J3" s="6">
        <f>($H$3-34)*B9+B4</f>
        <v>206.99793199999996</v>
      </c>
      <c r="K3" s="6"/>
      <c r="L3" s="13">
        <f>MAX(I3,J3)</f>
        <v>212.94814</v>
      </c>
      <c r="P3" s="1" t="s">
        <v>73</v>
      </c>
      <c r="S3" s="37" t="s">
        <v>87</v>
      </c>
    </row>
    <row r="4" spans="1:21" hidden="1" x14ac:dyDescent="0.25">
      <c r="A4" s="3" t="s">
        <v>25</v>
      </c>
      <c r="B4" s="57">
        <v>199.65736999999999</v>
      </c>
      <c r="C4" s="57">
        <v>134.02759</v>
      </c>
      <c r="E4" s="57">
        <v>55.624724999999998</v>
      </c>
      <c r="G4" s="1" t="s">
        <v>22</v>
      </c>
      <c r="H4" s="1">
        <f>D38+1</f>
        <v>43</v>
      </c>
      <c r="I4" s="7">
        <f>(H4-37)*C12+C4</f>
        <v>152.78046500000002</v>
      </c>
      <c r="J4" s="7">
        <f>(H4-37)*D9+C4</f>
        <v>141.57410576394503</v>
      </c>
      <c r="K4" s="7"/>
      <c r="L4" s="13">
        <f t="shared" ref="L4:L5" si="0">MAX(I4,J4)</f>
        <v>152.78046500000002</v>
      </c>
      <c r="P4" s="1" t="s">
        <v>75</v>
      </c>
      <c r="S4" s="37" t="s">
        <v>88</v>
      </c>
    </row>
    <row r="5" spans="1:21" hidden="1" x14ac:dyDescent="0.25">
      <c r="A5" s="3" t="s">
        <v>26</v>
      </c>
      <c r="B5" s="57">
        <v>212.94814</v>
      </c>
      <c r="C5" s="57">
        <v>152.78046500000002</v>
      </c>
      <c r="E5" s="57">
        <v>58.551230000000004</v>
      </c>
      <c r="G5" s="1" t="s">
        <v>20</v>
      </c>
      <c r="H5" s="2">
        <f>D38-2</f>
        <v>40</v>
      </c>
      <c r="I5" s="6">
        <f>($H$5-34)*E12+E4</f>
        <v>58.551230000000004</v>
      </c>
      <c r="J5" s="7">
        <f>(H5-40)*(F9+E12)+E5</f>
        <v>58.551230000000004</v>
      </c>
      <c r="K5" s="7"/>
      <c r="L5" s="13">
        <f t="shared" si="0"/>
        <v>58.551230000000004</v>
      </c>
      <c r="P5" s="1" t="s">
        <v>76</v>
      </c>
      <c r="S5" s="37" t="s">
        <v>89</v>
      </c>
      <c r="U5" s="29"/>
    </row>
    <row r="6" spans="1:21" hidden="1" x14ac:dyDescent="0.25">
      <c r="A6" s="4"/>
      <c r="B6" s="7"/>
      <c r="C6" s="81" t="s">
        <v>27</v>
      </c>
      <c r="E6" s="81" t="s">
        <v>28</v>
      </c>
      <c r="L6" s="5"/>
      <c r="P6" s="1" t="s">
        <v>77</v>
      </c>
      <c r="S6" s="37" t="s">
        <v>106</v>
      </c>
    </row>
    <row r="7" spans="1:21" hidden="1" x14ac:dyDescent="0.25">
      <c r="C7" s="81"/>
      <c r="D7" s="1">
        <f>0.09+0.17</f>
        <v>0.26</v>
      </c>
      <c r="E7" s="81"/>
      <c r="F7" s="1">
        <f>(2.3/40)*1.15</f>
        <v>6.6124999999999989E-2</v>
      </c>
      <c r="L7" s="5"/>
      <c r="P7" s="1" t="s">
        <v>78</v>
      </c>
      <c r="U7" s="57">
        <f>(67.23*1.06)*1.0565</f>
        <v>75.290204700000004</v>
      </c>
    </row>
    <row r="8" spans="1:21" hidden="1" x14ac:dyDescent="0.25">
      <c r="A8" s="4" t="s">
        <v>23</v>
      </c>
      <c r="B8" s="7">
        <f>B4-B3</f>
        <v>12.234269999999981</v>
      </c>
      <c r="C8" s="1" t="s">
        <v>14</v>
      </c>
      <c r="D8" s="1">
        <f>119.68/24.74</f>
        <v>4.8375101050929672</v>
      </c>
      <c r="E8" s="1" t="s">
        <v>14</v>
      </c>
      <c r="F8" s="1">
        <f>49.67/11.03</f>
        <v>4.5031731640979151</v>
      </c>
      <c r="I8" s="57">
        <f>(22.01*1.06)*1.0565</f>
        <v>24.648778900000003</v>
      </c>
      <c r="L8" s="5"/>
      <c r="P8" s="1" t="s">
        <v>79</v>
      </c>
      <c r="U8" s="57">
        <f>(54.7*1.06)*1.0565</f>
        <v>61.257983000000003</v>
      </c>
    </row>
    <row r="9" spans="1:21" hidden="1" x14ac:dyDescent="0.25">
      <c r="A9" s="4" t="s">
        <v>3</v>
      </c>
      <c r="B9" s="7">
        <f>B8/10</f>
        <v>1.223426999999998</v>
      </c>
      <c r="C9" s="1" t="s">
        <v>3</v>
      </c>
      <c r="D9" s="1">
        <f>D7*D8</f>
        <v>1.2577526273241715</v>
      </c>
      <c r="E9" s="1" t="s">
        <v>3</v>
      </c>
      <c r="F9" s="1">
        <f>F7*F8</f>
        <v>0.2977723254759746</v>
      </c>
      <c r="L9" s="5"/>
      <c r="P9" s="1" t="s">
        <v>80</v>
      </c>
      <c r="U9" s="7"/>
    </row>
    <row r="10" spans="1:21" hidden="1" x14ac:dyDescent="0.25">
      <c r="A10" s="4"/>
      <c r="B10" s="7"/>
      <c r="L10" s="5"/>
      <c r="P10" s="1" t="s">
        <v>81</v>
      </c>
    </row>
    <row r="11" spans="1:21" hidden="1" x14ac:dyDescent="0.25">
      <c r="A11" s="4" t="s">
        <v>2</v>
      </c>
      <c r="B11" s="7">
        <f>B5-B4</f>
        <v>13.290770000000009</v>
      </c>
      <c r="C11" s="7">
        <f t="shared" ref="C11" si="1">C5-C4</f>
        <v>18.752875000000017</v>
      </c>
      <c r="D11" s="7"/>
      <c r="E11" s="7">
        <f>E5-E4</f>
        <v>2.9265050000000059</v>
      </c>
      <c r="L11" s="5"/>
      <c r="P11" s="1" t="s">
        <v>82</v>
      </c>
      <c r="U11" s="57">
        <f>(17.21*1.06)*1.0565</f>
        <v>19.273306900000001</v>
      </c>
    </row>
    <row r="12" spans="1:21" hidden="1" x14ac:dyDescent="0.25">
      <c r="A12" s="11" t="s">
        <v>3</v>
      </c>
      <c r="B12" s="8">
        <f>B11/6</f>
        <v>2.2151283333333347</v>
      </c>
      <c r="C12" s="8">
        <f t="shared" ref="C12:E12" si="2">C11/6</f>
        <v>3.1254791666666697</v>
      </c>
      <c r="D12" s="8"/>
      <c r="E12" s="8">
        <f t="shared" si="2"/>
        <v>0.4877508333333343</v>
      </c>
      <c r="F12" s="8"/>
      <c r="G12" s="8"/>
      <c r="H12" s="8"/>
      <c r="I12" s="8"/>
      <c r="J12" s="8"/>
      <c r="K12" s="8"/>
      <c r="L12" s="14"/>
      <c r="P12" s="1" t="s">
        <v>83</v>
      </c>
    </row>
    <row r="13" spans="1:21" hidden="1" x14ac:dyDescent="0.25">
      <c r="H13" s="87" t="s">
        <v>34</v>
      </c>
      <c r="I13" s="87"/>
      <c r="K13" s="97" t="s">
        <v>37</v>
      </c>
      <c r="L13" s="97"/>
      <c r="P13" s="1" t="s">
        <v>84</v>
      </c>
    </row>
    <row r="14" spans="1:21" hidden="1" x14ac:dyDescent="0.25">
      <c r="B14" s="1" t="s">
        <v>13</v>
      </c>
      <c r="E14" s="1" t="s">
        <v>31</v>
      </c>
      <c r="G14" s="1" t="s">
        <v>33</v>
      </c>
      <c r="H14" s="1" t="s">
        <v>35</v>
      </c>
      <c r="I14" s="1" t="s">
        <v>36</v>
      </c>
      <c r="K14" s="1" t="s">
        <v>35</v>
      </c>
      <c r="L14" s="1" t="s">
        <v>36</v>
      </c>
      <c r="P14" s="1" t="s">
        <v>85</v>
      </c>
      <c r="U14" s="57">
        <f>(14.27*1.06)*1.0565</f>
        <v>15.980830300000001</v>
      </c>
    </row>
    <row r="15" spans="1:21" hidden="1" x14ac:dyDescent="0.25">
      <c r="A15" s="1" t="s">
        <v>191</v>
      </c>
      <c r="B15" s="57">
        <v>18.911349999999999</v>
      </c>
      <c r="E15" s="1" t="s">
        <v>66</v>
      </c>
      <c r="F15" s="1">
        <f>$D$38-$D$39-$D$40-3</f>
        <v>35</v>
      </c>
      <c r="G15" s="1">
        <f>$D$43*2+$D$44+$D$45*2+$D$46*2</f>
        <v>7</v>
      </c>
      <c r="H15" s="1">
        <f>ROUNDDOWN(G27/($F15+0.125),0)</f>
        <v>1</v>
      </c>
      <c r="I15" s="1">
        <f>ROUNDDOWN($G$26/($F15+0.125),0)</f>
        <v>1</v>
      </c>
      <c r="K15" s="1">
        <f>$G15/H15</f>
        <v>7</v>
      </c>
      <c r="L15" s="1">
        <f>$G15/I15</f>
        <v>7</v>
      </c>
      <c r="P15" s="1" t="s">
        <v>86</v>
      </c>
    </row>
    <row r="16" spans="1:21" hidden="1" x14ac:dyDescent="0.25">
      <c r="A16" s="1" t="s">
        <v>9</v>
      </c>
      <c r="B16" s="57">
        <v>22.693619999999999</v>
      </c>
      <c r="E16" s="1" t="s">
        <v>32</v>
      </c>
      <c r="F16" s="1">
        <f>$D$38-$D$39-3/4</f>
        <v>39.25</v>
      </c>
      <c r="G16" s="1">
        <f>$D$44-B55</f>
        <v>1</v>
      </c>
      <c r="H16" s="1">
        <f>ROUNDDOWN(G27/($F16+0.125),0)</f>
        <v>1</v>
      </c>
      <c r="I16" s="1">
        <f>ROUNDDOWN(G26/($F16+0.125),0)</f>
        <v>1</v>
      </c>
      <c r="K16" s="1">
        <f>$G16/H16</f>
        <v>1</v>
      </c>
      <c r="L16" s="1">
        <f>$G16/I16</f>
        <v>1</v>
      </c>
      <c r="U16" s="57">
        <f>(44.23*1.06)*1.0565</f>
        <v>49.532734699999999</v>
      </c>
    </row>
    <row r="17" spans="1:21" ht="15.75" hidden="1" x14ac:dyDescent="0.25">
      <c r="A17" s="1" t="s">
        <v>10</v>
      </c>
      <c r="B17" s="57">
        <v>54.230145</v>
      </c>
      <c r="E17" s="1" t="s">
        <v>63</v>
      </c>
      <c r="F17" s="1">
        <f>$D$38-$D$39-$D$40-3</f>
        <v>35</v>
      </c>
      <c r="K17" s="1">
        <f>G19/H19</f>
        <v>5</v>
      </c>
      <c r="L17" s="1">
        <f>G19/I19</f>
        <v>5</v>
      </c>
      <c r="U17" s="31"/>
    </row>
    <row r="18" spans="1:21" hidden="1" x14ac:dyDescent="0.25">
      <c r="A18" s="1" t="s">
        <v>54</v>
      </c>
      <c r="B18" s="57">
        <v>8.5787799999999983</v>
      </c>
      <c r="E18" s="1" t="s">
        <v>69</v>
      </c>
      <c r="F18" s="1">
        <f>$H$5-$D$40-3</f>
        <v>35</v>
      </c>
      <c r="O18" s="1" t="s">
        <v>91</v>
      </c>
      <c r="P18" s="1" t="s">
        <v>92</v>
      </c>
    </row>
    <row r="19" spans="1:21" hidden="1" x14ac:dyDescent="0.25">
      <c r="A19" s="1" t="s">
        <v>30</v>
      </c>
      <c r="B19" s="57">
        <v>2.4193850000000001</v>
      </c>
      <c r="E19" s="1" t="s">
        <v>70</v>
      </c>
      <c r="F19" s="1">
        <f>$H$5-$D$40-3</f>
        <v>35</v>
      </c>
      <c r="G19" s="1">
        <f>$D$47+$D$48+$D$49</f>
        <v>5</v>
      </c>
      <c r="H19" s="1">
        <f>ROUNDDOWN(G27/($F19+0.125),0)</f>
        <v>1</v>
      </c>
      <c r="I19" s="1">
        <f>ROUNDDOWN(G26/($F19+0.125),0)</f>
        <v>1</v>
      </c>
      <c r="J19" s="1" t="s">
        <v>38</v>
      </c>
      <c r="K19" s="1">
        <f>IF($D$52=$O$18,ROUNDUP((K15+K16+K17)/ROUNDDOWN(120/G27,0),0),ROUNDUP(K15+K16+K17,0))</f>
        <v>5</v>
      </c>
      <c r="L19" s="1">
        <f>IF($D$52=$O$18,ROUNDUP((L15+L16+L17)/ROUNDDOWN(144/G26,0),0),ROUNDUP(L15+L16+L17,0))</f>
        <v>5</v>
      </c>
    </row>
    <row r="20" spans="1:21" hidden="1" x14ac:dyDescent="0.25">
      <c r="A20" s="1" t="s">
        <v>29</v>
      </c>
      <c r="B20" s="57">
        <v>3.57097</v>
      </c>
      <c r="E20" s="1" t="s">
        <v>52</v>
      </c>
      <c r="F20" s="1">
        <f>$D$40-0.5</f>
        <v>1.5</v>
      </c>
      <c r="G20" s="1">
        <f>$D$43*2+$D$44+$D$45*2+$D$46*2+$D$47+$B$60</f>
        <v>12</v>
      </c>
      <c r="I20" s="1">
        <f>ROUNDDOWN(120/($F20+0.125),0)</f>
        <v>73</v>
      </c>
      <c r="K20" s="1">
        <f>IF(F20=1.5,0,(G20*(F20+0.125))/12)</f>
        <v>0</v>
      </c>
      <c r="M20" s="1">
        <f>ROUNDUP(K20+K21,0)</f>
        <v>0</v>
      </c>
    </row>
    <row r="21" spans="1:21" hidden="1" x14ac:dyDescent="0.25">
      <c r="A21" s="1" t="s">
        <v>11</v>
      </c>
      <c r="B21" s="57">
        <v>3.0744150000000001</v>
      </c>
      <c r="E21" s="1" t="s">
        <v>53</v>
      </c>
      <c r="F21" s="1">
        <f>$D$40-0.25</f>
        <v>1.75</v>
      </c>
      <c r="G21" s="1">
        <f>D49+D48-B60</f>
        <v>0</v>
      </c>
      <c r="I21" s="1">
        <f>ROUNDDOWN(120/($F21+0.125),0)</f>
        <v>64</v>
      </c>
      <c r="K21" s="1">
        <f>IF(F21=1.5,0,(G21*(F21+0.125))/12)</f>
        <v>0</v>
      </c>
      <c r="M21" s="1">
        <f>IF(D52=O18,0,ROUNDDOWN(M20/10,0))</f>
        <v>0</v>
      </c>
      <c r="U21" s="8"/>
    </row>
    <row r="22" spans="1:21" hidden="1" x14ac:dyDescent="0.25">
      <c r="A22" s="1" t="s">
        <v>12</v>
      </c>
      <c r="B22" s="57">
        <v>15.276990000000001</v>
      </c>
      <c r="E22" s="1" t="s">
        <v>39</v>
      </c>
      <c r="G22" s="1">
        <f>G20+G21</f>
        <v>12</v>
      </c>
      <c r="M22" s="1">
        <f>M20-M21*10</f>
        <v>0</v>
      </c>
    </row>
    <row r="23" spans="1:21" hidden="1" x14ac:dyDescent="0.25">
      <c r="A23" s="1" t="s">
        <v>48</v>
      </c>
      <c r="B23" s="57">
        <v>13.533765000000001</v>
      </c>
      <c r="I23" s="1">
        <f>MIN(I21,I20)</f>
        <v>64</v>
      </c>
    </row>
    <row r="24" spans="1:21" hidden="1" x14ac:dyDescent="0.25">
      <c r="A24" s="1" t="s">
        <v>90</v>
      </c>
      <c r="B24" s="57">
        <v>3.454755</v>
      </c>
      <c r="E24" s="1" t="s">
        <v>55</v>
      </c>
      <c r="F24" s="1">
        <f>IF(F20=1.5, G20,0)</f>
        <v>12</v>
      </c>
      <c r="G24" s="1">
        <f>IF(F21=1.5, G21,0)</f>
        <v>0</v>
      </c>
    </row>
    <row r="25" spans="1:21" hidden="1" x14ac:dyDescent="0.25">
      <c r="A25" s="1" t="s">
        <v>96</v>
      </c>
      <c r="B25" s="57">
        <v>20.369320000000002</v>
      </c>
    </row>
    <row r="26" spans="1:21" hidden="1" x14ac:dyDescent="0.25">
      <c r="A26" s="1" t="s">
        <v>97</v>
      </c>
      <c r="B26" s="57">
        <v>21.573730000000001</v>
      </c>
      <c r="F26" s="1">
        <f>MAX(F15:F19)</f>
        <v>39.25</v>
      </c>
      <c r="G26" s="1">
        <f>IF($D$52=$O$18,IF(F26&gt;48,72,48),144)</f>
        <v>48</v>
      </c>
    </row>
    <row r="27" spans="1:21" hidden="1" x14ac:dyDescent="0.25">
      <c r="A27" s="1" t="s">
        <v>98</v>
      </c>
      <c r="B27" s="57">
        <v>21.573730000000001</v>
      </c>
      <c r="G27" s="1">
        <f>IF($D$52=$O$18,IF(F26&gt;60,72,IF(F26&gt;40,60,40)),120)</f>
        <v>40</v>
      </c>
    </row>
    <row r="28" spans="1:21" hidden="1" x14ac:dyDescent="0.25">
      <c r="A28" s="1" t="s">
        <v>100</v>
      </c>
      <c r="B28" s="57">
        <v>39.925134999999997</v>
      </c>
      <c r="F28" s="1" t="s">
        <v>185</v>
      </c>
    </row>
    <row r="29" spans="1:21" hidden="1" x14ac:dyDescent="0.25">
      <c r="A29" s="1" t="s">
        <v>102</v>
      </c>
      <c r="B29" s="57">
        <v>211.27886999999998</v>
      </c>
      <c r="E29" s="1" t="s">
        <v>133</v>
      </c>
      <c r="F29" s="1">
        <f>IF(H3&lt;34,8.25,IF(H3&lt;40,8.25+(H3-34)*(10.04-8.25)/6,IF(H3=40,10.04,10.04+(H3-40)*(11.97-10.04)/8)))</f>
        <v>10.039999999999999</v>
      </c>
    </row>
    <row r="30" spans="1:21" hidden="1" x14ac:dyDescent="0.25">
      <c r="A30" s="1" t="s">
        <v>192</v>
      </c>
      <c r="B30" s="57">
        <v>25.282045</v>
      </c>
      <c r="E30" s="1" t="s">
        <v>142</v>
      </c>
      <c r="F30" s="1">
        <f>IF(F44&lt;40,3.17,3.17+(F44-40)*(3.17/40))</f>
        <v>3.17</v>
      </c>
    </row>
    <row r="31" spans="1:21" hidden="1" x14ac:dyDescent="0.25">
      <c r="A31" s="1" t="s">
        <v>182</v>
      </c>
      <c r="B31" s="57">
        <v>29.07488</v>
      </c>
    </row>
    <row r="32" spans="1:21" hidden="1" x14ac:dyDescent="0.25">
      <c r="B32" s="1">
        <v>26</v>
      </c>
      <c r="C32" s="1">
        <v>72</v>
      </c>
    </row>
    <row r="33" spans="1:14" hidden="1" x14ac:dyDescent="0.25"/>
    <row r="34" spans="1:14" x14ac:dyDescent="0.25">
      <c r="A34" s="89" t="s">
        <v>197</v>
      </c>
      <c r="B34" s="89"/>
      <c r="C34" s="89"/>
      <c r="D34" s="89"/>
      <c r="E34" s="89"/>
      <c r="F34" s="89"/>
      <c r="G34" s="89"/>
      <c r="H34" s="89"/>
      <c r="I34" s="89"/>
    </row>
    <row r="35" spans="1:14" ht="15.75" x14ac:dyDescent="0.25">
      <c r="A35" s="84" t="str">
        <f>IF(M60&gt;0,S3,IF(K40=2,S4,IF(D40&gt;3.875,S5,IF(M64&lt;M66,S6,"No Error"))))</f>
        <v>No Error</v>
      </c>
      <c r="B35" s="85"/>
      <c r="C35" s="85"/>
      <c r="D35" s="86"/>
      <c r="E35" s="35" t="s">
        <v>60</v>
      </c>
      <c r="F35" s="88"/>
      <c r="G35" s="88"/>
      <c r="H35" s="88"/>
      <c r="I35" s="88"/>
    </row>
    <row r="36" spans="1:14" ht="15.75" x14ac:dyDescent="0.25">
      <c r="A36" s="84" t="str">
        <f>IF(D39&gt;8,"Glass Reveals Over 8 Inches Must Use at Least 12mm Glass","Please Confirm Glass Thickness")</f>
        <v>Please Confirm Glass Thickness</v>
      </c>
      <c r="B36" s="85"/>
      <c r="C36" s="85"/>
      <c r="D36" s="86"/>
      <c r="E36" s="35" t="s">
        <v>61</v>
      </c>
      <c r="F36" s="88"/>
      <c r="G36" s="88"/>
      <c r="H36" s="88"/>
      <c r="I36" s="88"/>
    </row>
    <row r="37" spans="1:14" x14ac:dyDescent="0.25">
      <c r="A37" s="82" t="s">
        <v>56</v>
      </c>
      <c r="B37" s="83"/>
      <c r="C37" s="83"/>
      <c r="D37" s="21"/>
      <c r="E37" s="19" t="s">
        <v>74</v>
      </c>
      <c r="F37" s="88"/>
      <c r="G37" s="88"/>
      <c r="H37" s="88"/>
      <c r="I37" s="88"/>
    </row>
    <row r="38" spans="1:14" x14ac:dyDescent="0.25">
      <c r="A38" s="74" t="s">
        <v>4</v>
      </c>
      <c r="B38" s="75"/>
      <c r="C38" s="75"/>
      <c r="D38" s="16">
        <v>42</v>
      </c>
      <c r="E38" s="94" t="s">
        <v>108</v>
      </c>
      <c r="F38" s="95"/>
      <c r="G38" s="95"/>
      <c r="H38" s="95"/>
      <c r="I38" s="96"/>
      <c r="K38" s="1">
        <f>IF(D39&gt;8,1,0)</f>
        <v>0</v>
      </c>
    </row>
    <row r="39" spans="1:14" ht="15" customHeight="1" x14ac:dyDescent="0.25">
      <c r="A39" s="78" t="s">
        <v>42</v>
      </c>
      <c r="B39" s="81"/>
      <c r="C39" s="81"/>
      <c r="D39" s="23">
        <v>2</v>
      </c>
      <c r="E39" s="34" t="s">
        <v>64</v>
      </c>
      <c r="F39" s="70">
        <f>H3</f>
        <v>40</v>
      </c>
      <c r="G39" s="71"/>
      <c r="H39" s="71"/>
      <c r="I39" s="99"/>
      <c r="K39" s="1">
        <f>IF(D41=10,1,0)</f>
        <v>0</v>
      </c>
      <c r="M39" s="1">
        <f>D38-24</f>
        <v>18</v>
      </c>
    </row>
    <row r="40" spans="1:14" ht="15" customHeight="1" x14ac:dyDescent="0.25">
      <c r="A40" s="78" t="s">
        <v>40</v>
      </c>
      <c r="B40" s="81"/>
      <c r="C40" s="81"/>
      <c r="D40" s="23">
        <v>2</v>
      </c>
      <c r="E40" s="20" t="s">
        <v>175</v>
      </c>
      <c r="F40" s="70">
        <f>IF(D41=12,F15,F17)</f>
        <v>35</v>
      </c>
      <c r="G40" s="71"/>
      <c r="H40" s="71"/>
      <c r="I40" s="99"/>
      <c r="K40" s="1">
        <f>SUM(K38:K39)</f>
        <v>0</v>
      </c>
      <c r="M40" s="1">
        <f>D38-D39-16</f>
        <v>24</v>
      </c>
    </row>
    <row r="41" spans="1:14" x14ac:dyDescent="0.25">
      <c r="A41" s="79" t="s">
        <v>193</v>
      </c>
      <c r="B41" s="80"/>
      <c r="C41" s="80"/>
      <c r="D41" s="17">
        <v>13</v>
      </c>
      <c r="E41" s="20" t="s">
        <v>67</v>
      </c>
      <c r="F41" s="70">
        <f>F16</f>
        <v>39.25</v>
      </c>
      <c r="G41" s="71"/>
      <c r="H41" s="71"/>
      <c r="I41" s="99"/>
      <c r="K41" s="1">
        <v>8</v>
      </c>
      <c r="M41" s="1">
        <f>D40</f>
        <v>2</v>
      </c>
    </row>
    <row r="42" spans="1:14" x14ac:dyDescent="0.25">
      <c r="A42" s="72" t="s">
        <v>58</v>
      </c>
      <c r="B42" s="73"/>
      <c r="C42" s="73"/>
      <c r="D42" s="22"/>
      <c r="E42" s="15" t="s">
        <v>161</v>
      </c>
      <c r="F42" s="70">
        <f>F20</f>
        <v>1.5</v>
      </c>
      <c r="G42" s="71"/>
      <c r="H42" s="71"/>
      <c r="I42" s="99"/>
    </row>
    <row r="43" spans="1:14" x14ac:dyDescent="0.25">
      <c r="A43" s="74" t="s">
        <v>5</v>
      </c>
      <c r="B43" s="75"/>
      <c r="C43" s="75"/>
      <c r="D43" s="16">
        <v>3</v>
      </c>
      <c r="E43" s="15" t="s">
        <v>162</v>
      </c>
      <c r="F43" s="70">
        <f>F21</f>
        <v>1.75</v>
      </c>
      <c r="G43" s="71"/>
      <c r="H43" s="71"/>
      <c r="I43" s="99"/>
    </row>
    <row r="44" spans="1:14" x14ac:dyDescent="0.25">
      <c r="A44" s="74" t="s">
        <v>6</v>
      </c>
      <c r="B44" s="75"/>
      <c r="C44" s="75"/>
      <c r="D44" s="16">
        <v>1</v>
      </c>
      <c r="E44" s="20" t="s">
        <v>65</v>
      </c>
      <c r="F44" s="70">
        <f>H5</f>
        <v>40</v>
      </c>
      <c r="G44" s="71"/>
      <c r="H44" s="71"/>
      <c r="I44" s="99"/>
    </row>
    <row r="45" spans="1:14" x14ac:dyDescent="0.25">
      <c r="A45" s="74" t="s">
        <v>44</v>
      </c>
      <c r="B45" s="75"/>
      <c r="C45" s="75"/>
      <c r="D45" s="16">
        <v>0</v>
      </c>
      <c r="E45" s="15" t="s">
        <v>160</v>
      </c>
      <c r="F45" s="70">
        <f>H4</f>
        <v>43</v>
      </c>
      <c r="G45" s="71"/>
      <c r="H45" s="71"/>
      <c r="I45" s="99"/>
    </row>
    <row r="46" spans="1:14" x14ac:dyDescent="0.25">
      <c r="A46" s="74" t="s">
        <v>43</v>
      </c>
      <c r="B46" s="75"/>
      <c r="C46" s="75"/>
      <c r="D46" s="16">
        <v>0</v>
      </c>
      <c r="E46" s="28" t="s">
        <v>68</v>
      </c>
      <c r="F46" s="102">
        <f>IF(D41=10,F18,F19)</f>
        <v>35</v>
      </c>
      <c r="G46" s="97"/>
      <c r="H46" s="97"/>
      <c r="I46" s="103"/>
    </row>
    <row r="47" spans="1:14" x14ac:dyDescent="0.25">
      <c r="A47" s="74" t="s">
        <v>7</v>
      </c>
      <c r="B47" s="75"/>
      <c r="C47" s="75"/>
      <c r="D47" s="16">
        <v>5</v>
      </c>
      <c r="E47" s="94" t="s">
        <v>107</v>
      </c>
      <c r="F47" s="95"/>
      <c r="G47" s="95"/>
      <c r="H47" s="95"/>
      <c r="I47" s="96"/>
      <c r="N47" s="1" t="s">
        <v>185</v>
      </c>
    </row>
    <row r="48" spans="1:14" x14ac:dyDescent="0.25">
      <c r="A48" s="74" t="s">
        <v>152</v>
      </c>
      <c r="B48" s="75"/>
      <c r="C48" s="75"/>
      <c r="D48" s="16">
        <v>0</v>
      </c>
      <c r="E48" s="18"/>
      <c r="F48" s="18" t="s">
        <v>59</v>
      </c>
      <c r="H48" s="18" t="s">
        <v>41</v>
      </c>
      <c r="I48" s="30" t="s">
        <v>38</v>
      </c>
    </row>
    <row r="49" spans="1:14" x14ac:dyDescent="0.25">
      <c r="A49" s="74" t="s">
        <v>153</v>
      </c>
      <c r="B49" s="75"/>
      <c r="C49" s="75"/>
      <c r="D49" s="16">
        <v>0</v>
      </c>
      <c r="E49" s="1" t="str">
        <f>IF($D$41=13,IF(D52=O18,IF(G27&gt;60,"Gasket 13mm 10 Ft Cut To 72 Inches",IF(G27&gt;40,"Gasket 13mm 10 Ft Cut To 60 Inches","Gasket 13mm 10 Ft Cut To 40 Inches")),"Gasket 13mm 10 Ft Lengths"),IF(D52=O18,IF(G26&gt;48,"Gasket 12mm 12Ft Cut to 72 Inches","Gasket 12mm 12 Ft Cut To 48"),"Gasket 12mm 12 Ft Lengths"))</f>
        <v>Gasket 13mm 10 Ft Cut To 40 Inches</v>
      </c>
      <c r="F49" s="1">
        <f>IF(D41=13,K19,L19)</f>
        <v>5</v>
      </c>
      <c r="H49" s="7">
        <f>IF(D41=13,IF(D52=O18,B30*(1-$D$51),B15*(1-$D$51)),IF(D52=O18,B31*(1-$D$51),B16*(1-$D$51)))</f>
        <v>14.284355424999999</v>
      </c>
      <c r="I49" s="13">
        <f t="shared" ref="I49" si="3">H49*F49</f>
        <v>71.421777124999991</v>
      </c>
    </row>
    <row r="50" spans="1:14" x14ac:dyDescent="0.25">
      <c r="A50" s="79" t="s">
        <v>90</v>
      </c>
      <c r="B50" s="80"/>
      <c r="C50" s="80"/>
      <c r="D50" s="16" t="s">
        <v>92</v>
      </c>
      <c r="E50" s="4" t="s">
        <v>10</v>
      </c>
      <c r="F50" s="1">
        <f>IF($D$52=$O$18,0,IF(M22&lt;7,M21,M21+1))</f>
        <v>0</v>
      </c>
      <c r="H50" s="7">
        <f>B17*(1-$D$51)</f>
        <v>30.640031924999999</v>
      </c>
      <c r="I50" s="13">
        <f>H50*F50</f>
        <v>0</v>
      </c>
    </row>
    <row r="51" spans="1:14" x14ac:dyDescent="0.25">
      <c r="A51" s="70" t="s">
        <v>8</v>
      </c>
      <c r="B51" s="71"/>
      <c r="C51" s="71"/>
      <c r="D51" s="36">
        <v>0.435</v>
      </c>
      <c r="E51" s="4" t="s">
        <v>54</v>
      </c>
      <c r="F51" s="1">
        <f>IF($D$52=$O$18,M20,IF(M22&lt;7,M22,0))</f>
        <v>0</v>
      </c>
      <c r="H51" s="7">
        <f>B18*(1-$D$51)</f>
        <v>4.8470106999999985</v>
      </c>
      <c r="I51" s="13">
        <f>H51*F51</f>
        <v>0</v>
      </c>
    </row>
    <row r="52" spans="1:14" x14ac:dyDescent="0.25">
      <c r="A52" s="70" t="s">
        <v>180</v>
      </c>
      <c r="B52" s="71"/>
      <c r="C52" s="71"/>
      <c r="D52" s="16" t="s">
        <v>91</v>
      </c>
      <c r="E52" s="4" t="s">
        <v>163</v>
      </c>
      <c r="F52" s="1">
        <f>F24+G24</f>
        <v>12</v>
      </c>
      <c r="H52" s="7">
        <f>B19*(1-$D$51)</f>
        <v>1.3669525249999999</v>
      </c>
      <c r="I52" s="13">
        <f>H52*F52</f>
        <v>16.403430299999997</v>
      </c>
    </row>
    <row r="53" spans="1:14" ht="15" customHeight="1" x14ac:dyDescent="0.25">
      <c r="A53" s="67" t="s">
        <v>71</v>
      </c>
      <c r="B53" s="68"/>
      <c r="C53" s="68"/>
      <c r="D53" s="69"/>
      <c r="E53" s="1" t="str">
        <f>IF($D$41=10,"Glass Wedge 10mm (4 Inch Piece)","Glass Wedge 12mm (3 Inch Piece)")</f>
        <v>Glass Wedge 12mm (3 Inch Piece)</v>
      </c>
      <c r="F53" s="1">
        <f>G22</f>
        <v>12</v>
      </c>
      <c r="H53" s="7">
        <f>IF(D41=10,B20*(1-$D$51),B21*(1-$D$51))</f>
        <v>1.7370444749999998</v>
      </c>
      <c r="I53" s="13">
        <f>H53*F53</f>
        <v>20.844533699999999</v>
      </c>
    </row>
    <row r="54" spans="1:14" ht="15" customHeight="1" x14ac:dyDescent="0.25">
      <c r="A54" s="4"/>
      <c r="B54" s="1" t="s">
        <v>59</v>
      </c>
      <c r="C54" s="1" t="s">
        <v>41</v>
      </c>
      <c r="D54" s="5" t="s">
        <v>38</v>
      </c>
      <c r="E54" s="1" t="s">
        <v>105</v>
      </c>
      <c r="F54" s="1">
        <f>IF(D50=O18, D43+D44+D45+D46+D48+D49-B58-B60,0)</f>
        <v>0</v>
      </c>
      <c r="H54" s="7">
        <f>B24*(1-$D$51)</f>
        <v>1.9519365749999997</v>
      </c>
      <c r="I54" s="13">
        <f t="shared" ref="I54:I62" si="4">H54*F54</f>
        <v>0</v>
      </c>
      <c r="K54" s="1">
        <f>D44</f>
        <v>1</v>
      </c>
      <c r="M54" s="1">
        <f>IF(B55&gt;K54,1,0)</f>
        <v>0</v>
      </c>
    </row>
    <row r="55" spans="1:14" ht="15" customHeight="1" x14ac:dyDescent="0.25">
      <c r="A55" s="25" t="s">
        <v>49</v>
      </c>
      <c r="B55" s="26">
        <v>0</v>
      </c>
      <c r="C55" s="7">
        <f>U7*(1-$D$51)</f>
        <v>42.5389656555</v>
      </c>
      <c r="D55" s="13">
        <f>C55*B55</f>
        <v>0</v>
      </c>
      <c r="E55" s="4" t="s">
        <v>62</v>
      </c>
      <c r="F55" s="1">
        <f>D44+D43</f>
        <v>4</v>
      </c>
      <c r="H55" s="7">
        <f>$L$3*(1-$D$51)</f>
        <v>120.31569909999999</v>
      </c>
      <c r="I55" s="13">
        <f t="shared" si="4"/>
        <v>481.26279639999996</v>
      </c>
      <c r="K55" s="1">
        <f>D43+D45+D46</f>
        <v>3</v>
      </c>
      <c r="M55" s="1">
        <f>IF(B56&gt;K55,1,0)</f>
        <v>0</v>
      </c>
      <c r="N55" s="54">
        <f>$F$29</f>
        <v>10.039999999999999</v>
      </c>
    </row>
    <row r="56" spans="1:14" ht="15" customHeight="1" x14ac:dyDescent="0.25">
      <c r="A56" s="25" t="s">
        <v>72</v>
      </c>
      <c r="B56" s="26">
        <v>0</v>
      </c>
      <c r="C56" s="7">
        <f>U8*(1-$D$51)</f>
        <v>34.610760395</v>
      </c>
      <c r="D56" s="13">
        <f>C56*B56</f>
        <v>0</v>
      </c>
      <c r="E56" s="4" t="s">
        <v>45</v>
      </c>
      <c r="F56" s="1">
        <f>D45</f>
        <v>0</v>
      </c>
      <c r="H56" s="7">
        <f>$L$3*(1-$D$51)</f>
        <v>120.31569909999999</v>
      </c>
      <c r="I56" s="13">
        <f t="shared" si="4"/>
        <v>0</v>
      </c>
      <c r="K56" s="1">
        <f>D44+D43+D45+D46</f>
        <v>4</v>
      </c>
      <c r="M56" s="1">
        <f>IF(B58&gt;K56,1,0)</f>
        <v>0</v>
      </c>
      <c r="N56" s="54">
        <f>$F$29</f>
        <v>10.039999999999999</v>
      </c>
    </row>
    <row r="57" spans="1:14" x14ac:dyDescent="0.25">
      <c r="A57" s="78" t="s">
        <v>155</v>
      </c>
      <c r="D57" s="5"/>
      <c r="E57" s="4" t="s">
        <v>57</v>
      </c>
      <c r="F57" s="1">
        <f>D46</f>
        <v>0</v>
      </c>
      <c r="H57" s="7">
        <f>$L$3*(1-$D$51)</f>
        <v>120.31569909999999</v>
      </c>
      <c r="I57" s="13">
        <f t="shared" si="4"/>
        <v>0</v>
      </c>
      <c r="K57" s="1">
        <f>D48+D49</f>
        <v>0</v>
      </c>
      <c r="M57" s="1">
        <f>IF(B60&gt;K57,1,0)</f>
        <v>0</v>
      </c>
      <c r="N57" s="54">
        <f>$F$29</f>
        <v>10.039999999999999</v>
      </c>
    </row>
    <row r="58" spans="1:14" ht="15" customHeight="1" x14ac:dyDescent="0.25">
      <c r="A58" s="78"/>
      <c r="B58" s="26">
        <v>0</v>
      </c>
      <c r="C58" s="7">
        <f>U11*(1-$D$51)</f>
        <v>10.8894183985</v>
      </c>
      <c r="D58" s="13">
        <f>C58*B58</f>
        <v>0</v>
      </c>
      <c r="E58" s="4" t="s">
        <v>46</v>
      </c>
      <c r="F58" s="1">
        <f>D47</f>
        <v>5</v>
      </c>
      <c r="H58" s="7">
        <f>$L$5*(1-$D$51)</f>
        <v>33.081444949999998</v>
      </c>
      <c r="I58" s="13">
        <f t="shared" si="4"/>
        <v>165.40722474999998</v>
      </c>
      <c r="K58" s="1">
        <f>D43+D44+D45+D46+D48+D49</f>
        <v>4</v>
      </c>
      <c r="M58" s="1">
        <f>IF(B61&gt;K58,1,0)</f>
        <v>0</v>
      </c>
      <c r="N58" s="54">
        <f>$F$30</f>
        <v>3.17</v>
      </c>
    </row>
    <row r="59" spans="1:14" ht="15" customHeight="1" x14ac:dyDescent="0.25">
      <c r="A59" s="78" t="s">
        <v>159</v>
      </c>
      <c r="B59" s="27"/>
      <c r="D59" s="5"/>
      <c r="E59" s="4" t="s">
        <v>12</v>
      </c>
      <c r="F59" s="1">
        <f>D44-B55</f>
        <v>1</v>
      </c>
      <c r="H59" s="7">
        <f>B22*(1-$D$51)</f>
        <v>8.6314993500000003</v>
      </c>
      <c r="I59" s="13">
        <f t="shared" si="4"/>
        <v>8.6314993500000003</v>
      </c>
      <c r="K59" s="1">
        <f>D43+D44+D46</f>
        <v>4</v>
      </c>
      <c r="M59" s="1">
        <f>IF(B63&gt;K59,1,0)</f>
        <v>0</v>
      </c>
      <c r="N59" s="54">
        <v>1.03</v>
      </c>
    </row>
    <row r="60" spans="1:14" x14ac:dyDescent="0.25">
      <c r="A60" s="78"/>
      <c r="B60" s="26">
        <v>0</v>
      </c>
      <c r="C60" s="7">
        <f>I8*(1-$D$51)</f>
        <v>13.926560078500001</v>
      </c>
      <c r="D60" s="13">
        <f>C60*B60</f>
        <v>0</v>
      </c>
      <c r="E60" s="4" t="s">
        <v>156</v>
      </c>
      <c r="F60" s="1">
        <f>D48</f>
        <v>0</v>
      </c>
      <c r="H60" s="7">
        <f>$L$4*(1-$D$51)</f>
        <v>86.320962725000001</v>
      </c>
      <c r="I60" s="13">
        <f t="shared" si="4"/>
        <v>0</v>
      </c>
      <c r="M60" s="1">
        <f>SUM(M52:M59)</f>
        <v>0</v>
      </c>
      <c r="N60" s="54">
        <f>$F$29</f>
        <v>10.039999999999999</v>
      </c>
    </row>
    <row r="61" spans="1:14" x14ac:dyDescent="0.25">
      <c r="A61" s="4" t="s">
        <v>50</v>
      </c>
      <c r="B61" s="26">
        <v>0</v>
      </c>
      <c r="C61" s="7">
        <f>U14*(1-$D$51)</f>
        <v>9.0291691195000006</v>
      </c>
      <c r="D61" s="13">
        <f>C61*B61</f>
        <v>0</v>
      </c>
      <c r="E61" s="4" t="s">
        <v>157</v>
      </c>
      <c r="F61" s="1">
        <f>D49</f>
        <v>0</v>
      </c>
      <c r="H61" s="7">
        <f>$L$4*(1-$D$51)</f>
        <v>86.320962725000001</v>
      </c>
      <c r="I61" s="13">
        <f t="shared" si="4"/>
        <v>0</v>
      </c>
      <c r="N61" s="54">
        <f>$F$29</f>
        <v>10.039999999999999</v>
      </c>
    </row>
    <row r="62" spans="1:14" x14ac:dyDescent="0.25">
      <c r="A62" s="76" t="s">
        <v>51</v>
      </c>
      <c r="D62" s="5"/>
      <c r="E62" s="11" t="s">
        <v>158</v>
      </c>
      <c r="F62" s="8">
        <f>F61+F60</f>
        <v>0</v>
      </c>
      <c r="H62" s="32">
        <f>$B$23*(1-$D$51)</f>
        <v>7.6465772249999997</v>
      </c>
      <c r="I62" s="33">
        <f t="shared" si="4"/>
        <v>0</v>
      </c>
      <c r="K62" s="1">
        <f>D43+D44</f>
        <v>4</v>
      </c>
      <c r="N62" s="54">
        <v>1.76</v>
      </c>
    </row>
    <row r="63" spans="1:14" x14ac:dyDescent="0.25">
      <c r="A63" s="77"/>
      <c r="B63" s="26">
        <v>0</v>
      </c>
      <c r="C63" s="32">
        <f>U16*(1-$D$51)</f>
        <v>27.985995105499995</v>
      </c>
      <c r="D63" s="33">
        <f>C63*B63</f>
        <v>0</v>
      </c>
      <c r="E63" s="24" t="str">
        <f>IF(D41=10,"10mm Job Cost","12mm Job Cost")</f>
        <v>12mm Job Cost</v>
      </c>
      <c r="F63" s="98">
        <f>I49+I50+I51+I52+I53+I59+I55+I56+I57+I58+I60+I61+I62+K69+I54</f>
        <v>763.9712616249999</v>
      </c>
      <c r="G63" s="98"/>
      <c r="H63" s="98"/>
      <c r="I63" s="5"/>
      <c r="K63" s="1">
        <f>D45</f>
        <v>0</v>
      </c>
    </row>
    <row r="64" spans="1:14" ht="15.75" x14ac:dyDescent="0.25">
      <c r="A64" s="67" t="s">
        <v>99</v>
      </c>
      <c r="B64" s="68"/>
      <c r="C64" s="68"/>
      <c r="D64" s="69"/>
      <c r="E64" s="100" t="str">
        <f>IF(F36=P3,"CONTACT IAS FOR CUSTOM COLOR PRICING","STANDARD COLOR")</f>
        <v>STANDARD COLOR</v>
      </c>
      <c r="F64" s="101"/>
      <c r="G64" s="101"/>
      <c r="H64" s="101"/>
      <c r="I64" s="5"/>
      <c r="K64" s="1">
        <f>D46</f>
        <v>0</v>
      </c>
      <c r="M64" s="1">
        <f>K62+K63+K64-B58</f>
        <v>4</v>
      </c>
    </row>
    <row r="65" spans="1:13" x14ac:dyDescent="0.25">
      <c r="A65" s="4" t="s">
        <v>100</v>
      </c>
      <c r="B65" s="38">
        <v>0</v>
      </c>
      <c r="C65" s="7">
        <f>B28*(1-$D$51)</f>
        <v>22.557701274999996</v>
      </c>
      <c r="D65" s="13">
        <f>C65*B65</f>
        <v>0</v>
      </c>
      <c r="I65" s="5"/>
    </row>
    <row r="66" spans="1:13" x14ac:dyDescent="0.25">
      <c r="A66" s="4" t="s">
        <v>101</v>
      </c>
      <c r="B66" s="38">
        <v>0</v>
      </c>
      <c r="C66" s="7">
        <f>B29*(1-$D$51)</f>
        <v>119.37256154999999</v>
      </c>
      <c r="D66" s="13">
        <f>C66*B66</f>
        <v>0</v>
      </c>
      <c r="E66" s="40"/>
      <c r="F66" s="42"/>
      <c r="G66" s="42"/>
      <c r="H66" s="42"/>
      <c r="I66" s="5"/>
      <c r="M66" s="1">
        <f>B67+B68+B69</f>
        <v>0</v>
      </c>
    </row>
    <row r="67" spans="1:13" x14ac:dyDescent="0.25">
      <c r="A67" s="4" t="s">
        <v>94</v>
      </c>
      <c r="B67" s="38">
        <v>0</v>
      </c>
      <c r="C67" s="7">
        <f>B25*(1-$D$51)</f>
        <v>11.508665799999999</v>
      </c>
      <c r="D67" s="13">
        <f>C67*B67</f>
        <v>0</v>
      </c>
      <c r="I67" s="5"/>
      <c r="K67" s="1">
        <f>ROUND(D38/13+1,0)</f>
        <v>4</v>
      </c>
    </row>
    <row r="68" spans="1:13" x14ac:dyDescent="0.25">
      <c r="A68" s="4" t="s">
        <v>93</v>
      </c>
      <c r="B68" s="38">
        <v>0</v>
      </c>
      <c r="C68" s="7">
        <f>B26*(1-$D$51)</f>
        <v>12.18915745</v>
      </c>
      <c r="D68" s="13">
        <f>C68*B68</f>
        <v>0</v>
      </c>
      <c r="E68" s="90" t="s">
        <v>104</v>
      </c>
      <c r="F68" s="91"/>
      <c r="G68" s="91"/>
      <c r="H68" s="91"/>
      <c r="I68" s="51">
        <f>(D43+D44+D45+D46+D48+D49)*4</f>
        <v>16</v>
      </c>
    </row>
    <row r="69" spans="1:13" x14ac:dyDescent="0.25">
      <c r="A69" s="11" t="s">
        <v>95</v>
      </c>
      <c r="B69" s="39">
        <v>0</v>
      </c>
      <c r="C69" s="32">
        <f>B27*(1-$D$51)</f>
        <v>12.18915745</v>
      </c>
      <c r="D69" s="33">
        <f>C69*B69</f>
        <v>0</v>
      </c>
      <c r="E69" s="92" t="s">
        <v>103</v>
      </c>
      <c r="F69" s="93"/>
      <c r="G69" s="93"/>
      <c r="H69" s="93"/>
      <c r="I69" s="52">
        <f>D47*K67</f>
        <v>20</v>
      </c>
      <c r="K69" s="7">
        <f>D55+D56+D58+D60+D61+D63+D66+D65+D67+D68+D69</f>
        <v>0</v>
      </c>
    </row>
  </sheetData>
  <sheetProtection algorithmName="SHA-512" hashValue="oe6PYpkvrdhX5vFUXfGt4IdupEes1sKu4Jf85zaSHw4dMiJ6VidPoc9vcVTA462fqn7cFYYMv2jPe18RiIzKaQ==" saltValue="D9aSI3aT3cQCufplldFn9g==" spinCount="100000" sheet="1" objects="1" scenarios="1"/>
  <protectedRanges>
    <protectedRange sqref="D52" name="Range9"/>
    <protectedRange sqref="B65:B69" name="Range8"/>
    <protectedRange sqref="B63" name="Range7"/>
    <protectedRange sqref="B60:B61" name="Range6"/>
    <protectedRange sqref="B58" name="Range5"/>
    <protectedRange sqref="B55:B56" name="Range4"/>
    <protectedRange sqref="D43:D52" name="Range3"/>
    <protectedRange sqref="D38:D41" name="Range2"/>
    <protectedRange sqref="F35:I37" name="Range1"/>
  </protectedRanges>
  <mergeCells count="46">
    <mergeCell ref="E68:H68"/>
    <mergeCell ref="E69:H69"/>
    <mergeCell ref="E47:I47"/>
    <mergeCell ref="K13:L13"/>
    <mergeCell ref="F63:H63"/>
    <mergeCell ref="F39:I39"/>
    <mergeCell ref="F37:I37"/>
    <mergeCell ref="E64:H64"/>
    <mergeCell ref="F43:I43"/>
    <mergeCell ref="F44:I44"/>
    <mergeCell ref="F45:I45"/>
    <mergeCell ref="F46:I46"/>
    <mergeCell ref="E38:I38"/>
    <mergeCell ref="F40:I40"/>
    <mergeCell ref="F41:I41"/>
    <mergeCell ref="F42:I42"/>
    <mergeCell ref="A41:C41"/>
    <mergeCell ref="A40:C40"/>
    <mergeCell ref="E6:E7"/>
    <mergeCell ref="H13:I13"/>
    <mergeCell ref="F36:I36"/>
    <mergeCell ref="F35:I35"/>
    <mergeCell ref="A35:D35"/>
    <mergeCell ref="A34:I34"/>
    <mergeCell ref="A1:B1"/>
    <mergeCell ref="C6:C7"/>
    <mergeCell ref="A39:C39"/>
    <mergeCell ref="A38:C38"/>
    <mergeCell ref="A37:C37"/>
    <mergeCell ref="A36:D36"/>
    <mergeCell ref="A64:D64"/>
    <mergeCell ref="A52:C52"/>
    <mergeCell ref="A51:C51"/>
    <mergeCell ref="A53:D53"/>
    <mergeCell ref="A42:C42"/>
    <mergeCell ref="A44:C44"/>
    <mergeCell ref="A43:C43"/>
    <mergeCell ref="A62:A63"/>
    <mergeCell ref="A57:A58"/>
    <mergeCell ref="A59:A60"/>
    <mergeCell ref="A50:C50"/>
    <mergeCell ref="A49:C49"/>
    <mergeCell ref="A48:C48"/>
    <mergeCell ref="A47:C47"/>
    <mergeCell ref="A46:C46"/>
    <mergeCell ref="A45:C45"/>
  </mergeCells>
  <dataValidations count="15">
    <dataValidation type="list" operator="equal" allowBlank="1" showInputMessage="1" showErrorMessage="1" errorTitle="Incorrect Glass Thickness" error="Error: Infinity Glass Rail Can Only Support 10mm or 12mm Glass" sqref="D41" xr:uid="{00000000-0002-0000-0000-000000000000}">
      <formula1>N2:O2</formula1>
    </dataValidation>
    <dataValidation type="list" allowBlank="1" showInputMessage="1" showErrorMessage="1" sqref="F36:I36" xr:uid="{00000000-0002-0000-0000-000001000000}">
      <formula1>$P$3:$P$15</formula1>
    </dataValidation>
    <dataValidation errorStyle="warning" allowBlank="1" showInputMessage="1" showErrorMessage="1" errorTitle="Tall Bottom Gap" error="Warning: Your Bottom Gap is Greater Than or Equal To 4&quot;, Please Ensure That This Meets With Your Code Requirements" sqref="M41" xr:uid="{00000000-0002-0000-0000-000002000000}"/>
    <dataValidation type="whole" errorStyle="warning" operator="lessThan" allowBlank="1" showInputMessage="1" showErrorMessage="1" errorTitle="DANGER" error="DANGER WILL ROBERTSON" sqref="K41" xr:uid="{00000000-0002-0000-0000-000003000000}">
      <formula1>4</formula1>
    </dataValidation>
    <dataValidation type="whole" operator="lessThanOrEqual" allowBlank="1" showInputMessage="1" showErrorMessage="1" errorTitle="Infinity Base Plate Error" error="Error: Cannot Add More Base Plates Than There Are Infinity Posts" sqref="B58" xr:uid="{00000000-0002-0000-0000-000004000000}">
      <formula1>K56</formula1>
    </dataValidation>
    <dataValidation type="whole" operator="lessThanOrEqual" allowBlank="1" showInputMessage="1" showErrorMessage="1" errorTitle="Cut Down Track Error" error="Error: Cannot Cut Down More Tracks than the combined number of Infinity Mid, Outside, and Inside Posts" sqref="B56" xr:uid="{00000000-0002-0000-0000-000005000000}">
      <formula1>K55</formula1>
    </dataValidation>
    <dataValidation type="whole" operator="lessThanOrEqual" allowBlank="1" showInputMessage="1" showErrorMessage="1" errorTitle="Remove Track Error" error="Error: Tracks Can Only Be Removed From End Posts, Cannot Remove More Tracks Than The Number of End Posts" sqref="B55" xr:uid="{00000000-0002-0000-0000-000006000000}">
      <formula1>K54</formula1>
    </dataValidation>
    <dataValidation type="whole" operator="lessThanOrEqual" allowBlank="1" showInputMessage="1" showErrorMessage="1" errorTitle="2 1/2&quot; Base Plate Error" error="Error: Cannot Add More Base Plates Than There Are 2 1/2&quot; Posts" sqref="B60" xr:uid="{00000000-0002-0000-0000-000007000000}">
      <formula1>K57</formula1>
    </dataValidation>
    <dataValidation type="whole" operator="lessThanOrEqual" allowBlank="1" showInputMessage="1" showErrorMessage="1" errorTitle="Welded Plate Error" error="Error: Cannot Weld More Base Plates Than There Are Posts" sqref="B61" xr:uid="{00000000-0002-0000-0000-000008000000}">
      <formula1>K58</formula1>
    </dataValidation>
    <dataValidation type="whole" operator="lessThanOrEqual" allowBlank="1" showInputMessage="1" showErrorMessage="1" errorTitle="Welded Side Mount Error" error="Error: Can Only Weld Side Mounts To Mid, End, or Inside Posts.  Cannot Have More Welded Side Mounts Than the Combined Number of Those Posts_x000a_" sqref="B63" xr:uid="{00000000-0002-0000-0000-000009000000}">
      <formula1>K59</formula1>
    </dataValidation>
    <dataValidation type="list" allowBlank="1" showInputMessage="1" showErrorMessage="1" errorTitle="Invalid Answer" error="Please Select or Type Either Yes or No" sqref="D50 D52" xr:uid="{00000000-0002-0000-0000-00000A000000}">
      <formula1>$O$18:$P$18</formula1>
    </dataValidation>
    <dataValidation type="whole" operator="lessThanOrEqual" allowBlank="1" showInputMessage="1" showErrorMessage="1" errorTitle="Base Plate Covers" error="Error: Cannot have More Mid Base Plate Covers Than The Number of Mid and End Infinity Posts" sqref="B67" xr:uid="{00000000-0002-0000-0000-00000B000000}">
      <formula1>K62</formula1>
    </dataValidation>
    <dataValidation type="whole" operator="lessThanOrEqual" allowBlank="1" showInputMessage="1" showErrorMessage="1" errorTitle="Base Plate Covers" error="Error: Cannot Have More Outside Covers Than The Number Of Outside Corner Posts" sqref="B68" xr:uid="{00000000-0002-0000-0000-00000C000000}">
      <formula1>K63</formula1>
    </dataValidation>
    <dataValidation type="whole" operator="lessThanOrEqual" allowBlank="1" showInputMessage="1" showErrorMessage="1" errorTitle="Base Plate Covers" error="Error: Cannot Have More Base Plate Covers Than Inside Base Plates" sqref="B69" xr:uid="{00000000-0002-0000-0000-00000D000000}">
      <formula1>K64</formula1>
    </dataValidation>
    <dataValidation type="whole" operator="greaterThanOrEqual" allowBlank="1" showInputMessage="1" showErrorMessage="1" errorTitle="Incorrect Quantity" error="Quantity Must be a Whole Number Greater Than or Equal To Zero_x000a_" sqref="D43:D49" xr:uid="{00000000-0002-0000-0000-00000E000000}">
      <formula1>0</formula1>
    </dataValidation>
  </dataValidations>
  <pageMargins left="0.7" right="0.7" top="1.1156250000000001" bottom="0.75" header="0.3" footer="0.3"/>
  <pageSetup scale="85" orientation="landscape" horizontalDpi="4294967294" verticalDpi="4294967294" r:id="rId1"/>
  <headerFooter>
    <oddHeader>&amp;L&amp;G&amp;R&amp;G</oddHeader>
    <oddFooter>&amp;CPrior to ordering it is recommended that you consult with a local engineer to determine the appropriate post spacing, 
post heights, wall fastener and deck fastener requirements for your job site</oddFooter>
  </headerFooter>
  <legacyDrawingHF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EA02455F-D7C8-4F0D-B1FD-EEB5B44294B3}">
            <xm:f>NOT(ISERROR(SEARCH($S$6,A35)))</xm:f>
            <xm:f>$S$6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containsText" priority="5" operator="containsText" id="{E83C6120-DC83-491E-9A8F-D2B9AB7D1EE8}">
            <xm:f>NOT(ISERROR(SEARCH($S$5,A35)))</xm:f>
            <xm:f>$S$5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containsText" priority="6" operator="containsText" id="{BF1AA520-A6B1-48B5-A29A-823B778F7601}">
            <xm:f>NOT(ISERROR(SEARCH($S$4,A35)))</xm:f>
            <xm:f>$S$4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containsText" priority="8" operator="containsText" id="{766ED4C5-2F9C-4D6B-B97C-A438EA39897C}">
            <xm:f>NOT(ISERROR(SEARCH($S$3,A35)))</xm:f>
            <xm:f>$S$3</xm:f>
            <x14:dxf>
              <font>
                <b/>
                <i val="0"/>
                <color auto="1"/>
              </font>
              <fill>
                <patternFill>
                  <bgColor rgb="FFFF0000"/>
                </patternFill>
              </fill>
            </x14:dxf>
          </x14:cfRule>
          <xm:sqref>A35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S89"/>
  <sheetViews>
    <sheetView tabSelected="1" showRuler="0" topLeftCell="A57" zoomScaleNormal="100" workbookViewId="0">
      <selection activeCell="I79" sqref="I79"/>
    </sheetView>
  </sheetViews>
  <sheetFormatPr defaultColWidth="6.85546875" defaultRowHeight="15" x14ac:dyDescent="0.25"/>
  <cols>
    <col min="1" max="1" width="27.7109375" customWidth="1"/>
    <col min="2" max="3" width="8.7109375" customWidth="1"/>
    <col min="4" max="4" width="15.7109375" customWidth="1"/>
    <col min="5" max="5" width="34.7109375" customWidth="1"/>
    <col min="6" max="7" width="8.7109375" customWidth="1"/>
    <col min="8" max="8" width="15.7109375" customWidth="1"/>
    <col min="9" max="9" width="14" bestFit="1" customWidth="1"/>
    <col min="10" max="11" width="9" bestFit="1" customWidth="1"/>
    <col min="12" max="12" width="7" bestFit="1" customWidth="1"/>
    <col min="13" max="13" width="9" bestFit="1" customWidth="1"/>
    <col min="15" max="15" width="7" bestFit="1" customWidth="1"/>
  </cols>
  <sheetData>
    <row r="1" spans="1:19" ht="30" hidden="1" x14ac:dyDescent="0.25">
      <c r="A1" t="s">
        <v>4</v>
      </c>
      <c r="B1" t="s">
        <v>112</v>
      </c>
      <c r="C1" t="s">
        <v>110</v>
      </c>
      <c r="D1" t="s">
        <v>111</v>
      </c>
      <c r="I1" s="43" t="s">
        <v>15</v>
      </c>
      <c r="J1" s="43" t="s">
        <v>118</v>
      </c>
      <c r="K1" s="43" t="s">
        <v>121</v>
      </c>
      <c r="M1" s="43" t="s">
        <v>125</v>
      </c>
      <c r="S1" s="1" t="s">
        <v>73</v>
      </c>
    </row>
    <row r="2" spans="1:19" hidden="1" x14ac:dyDescent="0.25">
      <c r="A2" t="s">
        <v>124</v>
      </c>
      <c r="B2" t="s">
        <v>109</v>
      </c>
      <c r="C2" t="s">
        <v>111</v>
      </c>
      <c r="D2" t="s">
        <v>113</v>
      </c>
      <c r="H2" t="s">
        <v>116</v>
      </c>
      <c r="I2">
        <f>D60-D61+D63+5</f>
        <v>42</v>
      </c>
      <c r="J2" s="42">
        <f>$C$3+($I$2-42)*$E$10</f>
        <v>172.33628000000002</v>
      </c>
      <c r="K2" s="42">
        <f>$C$3+($I$2-42)*$C$10</f>
        <v>172.33628000000002</v>
      </c>
      <c r="M2" s="42">
        <f>MAX(J2:K2)</f>
        <v>172.33628000000002</v>
      </c>
      <c r="S2" s="1" t="s">
        <v>75</v>
      </c>
    </row>
    <row r="3" spans="1:19" hidden="1" x14ac:dyDescent="0.25">
      <c r="A3" t="s">
        <v>21</v>
      </c>
      <c r="B3" s="56">
        <v>152.674815</v>
      </c>
      <c r="C3" s="56">
        <v>172.33628000000002</v>
      </c>
      <c r="D3" s="56">
        <v>185.60592</v>
      </c>
      <c r="H3" t="s">
        <v>20</v>
      </c>
      <c r="I3">
        <f>D60-2</f>
        <v>34</v>
      </c>
      <c r="J3" s="42">
        <f>$C$4+($I$3-34)*$E$11</f>
        <v>55.624724999999998</v>
      </c>
      <c r="K3" s="42">
        <f>$D$4+($I$3-40)*($E$11+H11)</f>
        <v>53.838091047144147</v>
      </c>
      <c r="M3" s="42">
        <f>MAX(J3:K3)</f>
        <v>55.624724999999998</v>
      </c>
      <c r="S3" s="1" t="s">
        <v>76</v>
      </c>
    </row>
    <row r="4" spans="1:19" hidden="1" x14ac:dyDescent="0.25">
      <c r="A4" t="s">
        <v>20</v>
      </c>
      <c r="B4" s="42"/>
      <c r="C4" s="56">
        <v>55.624724999999998</v>
      </c>
      <c r="D4" s="56">
        <v>58.551230000000004</v>
      </c>
      <c r="F4" s="42"/>
      <c r="H4" t="s">
        <v>123</v>
      </c>
      <c r="I4">
        <f>D60+1+D63+5</f>
        <v>45</v>
      </c>
      <c r="J4" s="42">
        <f>$C$5+($I$4-45)*$E$12</f>
        <v>186.19756000000001</v>
      </c>
      <c r="K4" s="42">
        <f>$C$5+($I$4-45)*K11</f>
        <v>186.19756000000001</v>
      </c>
      <c r="M4" s="42">
        <f t="shared" ref="M4" si="0">MAX(J4:K4)</f>
        <v>186.19756000000001</v>
      </c>
      <c r="S4" s="1" t="s">
        <v>77</v>
      </c>
    </row>
    <row r="5" spans="1:19" ht="30" hidden="1" x14ac:dyDescent="0.25">
      <c r="A5" t="s">
        <v>22</v>
      </c>
      <c r="B5" s="42"/>
      <c r="C5" s="56">
        <v>186.19756000000001</v>
      </c>
      <c r="D5" s="56">
        <v>199.21364</v>
      </c>
      <c r="J5" s="43" t="s">
        <v>184</v>
      </c>
      <c r="K5" s="43"/>
      <c r="S5" s="1" t="s">
        <v>78</v>
      </c>
    </row>
    <row r="6" spans="1:19" hidden="1" x14ac:dyDescent="0.25">
      <c r="B6" t="s">
        <v>110</v>
      </c>
      <c r="C6" s="42" t="s">
        <v>111</v>
      </c>
      <c r="D6" t="s">
        <v>113</v>
      </c>
      <c r="H6" t="s">
        <v>133</v>
      </c>
      <c r="J6" s="58">
        <f>IF($I$2&lt;36,7.5,IF(I2&lt;42,7.5+(I2-36)*((9.13-7.5)/6),IF(I2=42,9.13,9.13+(I2-42)*((10.88-9.13)/6))))*1.1</f>
        <v>10.043000000000001</v>
      </c>
      <c r="S6" s="1" t="s">
        <v>79</v>
      </c>
    </row>
    <row r="7" spans="1:19" hidden="1" x14ac:dyDescent="0.25">
      <c r="A7" t="s">
        <v>133</v>
      </c>
      <c r="C7" s="42">
        <v>9.1300000000000008</v>
      </c>
      <c r="D7" s="42">
        <v>10.88</v>
      </c>
      <c r="H7" t="s">
        <v>142</v>
      </c>
      <c r="J7" s="58">
        <f>IF(I3&gt;40,D8/40*(I3-40)+D8,2.88)*1.1</f>
        <v>3.1680000000000001</v>
      </c>
      <c r="S7" s="1" t="s">
        <v>80</v>
      </c>
    </row>
    <row r="8" spans="1:19" hidden="1" x14ac:dyDescent="0.25">
      <c r="A8" t="s">
        <v>142</v>
      </c>
      <c r="D8" s="42">
        <v>2.88</v>
      </c>
      <c r="S8" s="1" t="s">
        <v>81</v>
      </c>
    </row>
    <row r="9" spans="1:19" ht="60" hidden="1" x14ac:dyDescent="0.25">
      <c r="B9" s="43" t="s">
        <v>115</v>
      </c>
      <c r="C9" s="43" t="s">
        <v>130</v>
      </c>
      <c r="D9" s="43" t="s">
        <v>114</v>
      </c>
      <c r="E9" s="43" t="s">
        <v>130</v>
      </c>
      <c r="G9" t="s">
        <v>126</v>
      </c>
      <c r="H9" s="1">
        <f>(2.3/40)*1.15</f>
        <v>6.6124999999999989E-2</v>
      </c>
      <c r="J9" s="2" t="s">
        <v>27</v>
      </c>
      <c r="K9" s="1">
        <f>0.09+0.17</f>
        <v>0.26</v>
      </c>
      <c r="S9" s="1" t="s">
        <v>82</v>
      </c>
    </row>
    <row r="10" spans="1:19" ht="15" hidden="1" customHeight="1" x14ac:dyDescent="0.25">
      <c r="A10" t="s">
        <v>116</v>
      </c>
      <c r="B10" s="42">
        <f>C3-B3</f>
        <v>19.661465000000021</v>
      </c>
      <c r="C10" s="42">
        <f>B10/10</f>
        <v>1.966146500000002</v>
      </c>
      <c r="D10" s="42">
        <f>D3-C3</f>
        <v>13.269639999999981</v>
      </c>
      <c r="E10" s="42">
        <f>D10/6</f>
        <v>2.2116066666666634</v>
      </c>
      <c r="G10" t="s">
        <v>14</v>
      </c>
      <c r="H10" s="1">
        <f>49.67/11.03</f>
        <v>4.5031731640979151</v>
      </c>
      <c r="J10" s="1" t="s">
        <v>14</v>
      </c>
      <c r="K10" s="1">
        <f>119.68/24.74</f>
        <v>4.8375101050929672</v>
      </c>
      <c r="S10" s="1" t="s">
        <v>83</v>
      </c>
    </row>
    <row r="11" spans="1:19" hidden="1" x14ac:dyDescent="0.25">
      <c r="A11" t="s">
        <v>20</v>
      </c>
      <c r="B11" s="7" t="s">
        <v>117</v>
      </c>
      <c r="C11" s="7" t="s">
        <v>117</v>
      </c>
      <c r="D11" s="42">
        <f>D4-C4</f>
        <v>2.9265050000000059</v>
      </c>
      <c r="E11" s="42">
        <f t="shared" ref="E11:E12" si="1">D11/6</f>
        <v>0.4877508333333343</v>
      </c>
      <c r="G11" t="s">
        <v>13</v>
      </c>
      <c r="H11" s="1">
        <f>H9*H10</f>
        <v>0.2977723254759746</v>
      </c>
      <c r="J11" s="1" t="s">
        <v>3</v>
      </c>
      <c r="K11" s="1">
        <f>K9*K10</f>
        <v>1.2577526273241715</v>
      </c>
      <c r="S11" s="1" t="s">
        <v>84</v>
      </c>
    </row>
    <row r="12" spans="1:19" hidden="1" x14ac:dyDescent="0.25">
      <c r="A12" t="s">
        <v>22</v>
      </c>
      <c r="B12" s="1" t="s">
        <v>117</v>
      </c>
      <c r="C12" s="1" t="s">
        <v>117</v>
      </c>
      <c r="D12" s="42">
        <f>D5-C5</f>
        <v>13.016079999999988</v>
      </c>
      <c r="E12" s="42">
        <f t="shared" si="1"/>
        <v>2.1693466666666645</v>
      </c>
      <c r="S12" s="1" t="s">
        <v>85</v>
      </c>
    </row>
    <row r="13" spans="1:19" hidden="1" x14ac:dyDescent="0.25">
      <c r="S13" s="1" t="s">
        <v>86</v>
      </c>
    </row>
    <row r="14" spans="1:19" hidden="1" x14ac:dyDescent="0.25">
      <c r="G14" s="75" t="s">
        <v>131</v>
      </c>
      <c r="H14" s="75"/>
      <c r="I14" s="75"/>
      <c r="J14" s="75"/>
      <c r="K14" s="75"/>
      <c r="L14" s="75"/>
    </row>
    <row r="15" spans="1:19" ht="60" hidden="1" x14ac:dyDescent="0.25">
      <c r="A15" s="75" t="s">
        <v>119</v>
      </c>
      <c r="B15" s="75"/>
      <c r="C15" s="75"/>
      <c r="I15" t="s">
        <v>135</v>
      </c>
      <c r="J15" s="43" t="s">
        <v>136</v>
      </c>
      <c r="K15" s="43" t="s">
        <v>137</v>
      </c>
      <c r="L15" s="43" t="s">
        <v>138</v>
      </c>
    </row>
    <row r="16" spans="1:19" hidden="1" x14ac:dyDescent="0.25">
      <c r="A16" s="1" t="s">
        <v>120</v>
      </c>
      <c r="B16" s="1">
        <v>12</v>
      </c>
      <c r="C16" s="1">
        <v>13</v>
      </c>
      <c r="D16" s="1"/>
      <c r="G16" s="104" t="s">
        <v>35</v>
      </c>
      <c r="H16" t="s">
        <v>133</v>
      </c>
      <c r="I16" s="55">
        <f>$I$2-5-$D$63-$D$62-3</f>
        <v>29</v>
      </c>
      <c r="J16">
        <f>IF($D$75=$F$55,ROUNDDOWN($F$18/(I16+0.125),0),ROUNDDOWN(120/(I16+0.125),0))</f>
        <v>1</v>
      </c>
      <c r="K16">
        <f>$D$67*2+$D$68+$D$69*2+$D$70*2</f>
        <v>20</v>
      </c>
      <c r="L16">
        <f>K16/J16</f>
        <v>20</v>
      </c>
      <c r="M16" s="75" t="s">
        <v>139</v>
      </c>
      <c r="N16" s="75"/>
      <c r="O16">
        <f>IF($D$75=$F$55,ROUNDUP((L16+L17+L18)/ROUNDDOWN(120/F18,0),0),ROUNDUP(L16+L17+L18,0))</f>
        <v>8</v>
      </c>
    </row>
    <row r="17" spans="1:15" hidden="1" x14ac:dyDescent="0.25">
      <c r="A17" s="1" t="s">
        <v>4</v>
      </c>
      <c r="B17" s="1">
        <v>26</v>
      </c>
      <c r="C17" s="1">
        <v>72</v>
      </c>
      <c r="D17" s="1"/>
      <c r="E17" t="s">
        <v>181</v>
      </c>
      <c r="F17">
        <f>MAX(I16:I18)</f>
        <v>36.75</v>
      </c>
      <c r="G17" s="104"/>
      <c r="H17" t="s">
        <v>134</v>
      </c>
      <c r="I17">
        <f>$I$3-3-$D$62</f>
        <v>29</v>
      </c>
      <c r="J17">
        <f>IF($D$75=$F$55,ROUNDDOWN($F$18/(I17+0.125),0),ROUNDDOWN(120/(I17+0.125),0))</f>
        <v>1</v>
      </c>
      <c r="K17">
        <f>$D$71+$D$72+$D$73</f>
        <v>0</v>
      </c>
      <c r="L17">
        <f t="shared" ref="L17:L21" si="2">K17/J17</f>
        <v>0</v>
      </c>
    </row>
    <row r="18" spans="1:15" hidden="1" x14ac:dyDescent="0.25">
      <c r="A18" s="1" t="s">
        <v>127</v>
      </c>
      <c r="B18" s="1">
        <f>D60-24</f>
        <v>12</v>
      </c>
      <c r="C18" s="1"/>
      <c r="D18" s="1"/>
      <c r="F18">
        <f>IF(F17&gt;72,120,IF(F17&gt;60,72,IF(F17&gt;40,60,40)))</f>
        <v>40</v>
      </c>
      <c r="G18" s="104"/>
      <c r="H18" t="s">
        <v>132</v>
      </c>
      <c r="I18">
        <f>$I$2-1/4-5</f>
        <v>36.75</v>
      </c>
      <c r="J18">
        <f>IF($D$75=$F$55,ROUNDDOWN($F$18/(I18+0.125),0),ROUNDDOWN(120/(I18+0.125),0))</f>
        <v>1</v>
      </c>
      <c r="K18">
        <f>$D$68-$B$78</f>
        <v>2</v>
      </c>
      <c r="L18">
        <f>K18/J18</f>
        <v>2</v>
      </c>
    </row>
    <row r="19" spans="1:15" hidden="1" x14ac:dyDescent="0.25">
      <c r="A19" s="1" t="s">
        <v>128</v>
      </c>
      <c r="B19" s="1">
        <v>1</v>
      </c>
      <c r="C19" s="1">
        <f>I2-D63-5-16</f>
        <v>18</v>
      </c>
      <c r="D19" s="1"/>
      <c r="G19" s="104" t="s">
        <v>36</v>
      </c>
      <c r="H19" t="s">
        <v>133</v>
      </c>
      <c r="I19">
        <f>$I$2-5-$D$63-$D$62-3</f>
        <v>29</v>
      </c>
      <c r="J19">
        <f>IF($D$75=$F$55,ROUNDDOWN($F$21/(I19+0.125),0),ROUNDDOWN(144/(I19+0.125),0))</f>
        <v>1</v>
      </c>
      <c r="K19">
        <f>$D$67*2+$D$68+$D$69*2+$D$70*2</f>
        <v>20</v>
      </c>
      <c r="L19">
        <f t="shared" si="2"/>
        <v>20</v>
      </c>
      <c r="M19" s="75" t="s">
        <v>140</v>
      </c>
      <c r="N19" s="75"/>
      <c r="O19">
        <f>IF($D$75=$F$55,ROUNDUP((L19+L20+L21)/ROUNDDOWN(144/F21,0),0),ROUNDUP(L19+L20+L21,0))</f>
        <v>8</v>
      </c>
    </row>
    <row r="20" spans="1:15" hidden="1" x14ac:dyDescent="0.25">
      <c r="A20" s="1" t="s">
        <v>129</v>
      </c>
      <c r="B20" s="1">
        <v>1</v>
      </c>
      <c r="C20" s="1">
        <v>7</v>
      </c>
      <c r="D20" s="1"/>
      <c r="E20" t="s">
        <v>181</v>
      </c>
      <c r="F20">
        <f>MAX(I19:I21)</f>
        <v>36.75</v>
      </c>
      <c r="G20" s="104"/>
      <c r="H20" t="s">
        <v>134</v>
      </c>
      <c r="I20">
        <f>$I$3-3-$D$62</f>
        <v>29</v>
      </c>
      <c r="J20">
        <f>IF($D$75=$F$55,ROUNDDOWN($F$21/(I20+0.125),0),ROUNDDOWN(144/(I20+0.125),0))</f>
        <v>1</v>
      </c>
      <c r="K20">
        <f>$D$71+$D$72+$D$73</f>
        <v>0</v>
      </c>
      <c r="L20">
        <f t="shared" si="2"/>
        <v>0</v>
      </c>
    </row>
    <row r="21" spans="1:15" hidden="1" x14ac:dyDescent="0.25">
      <c r="A21" s="1" t="s">
        <v>151</v>
      </c>
      <c r="B21" s="1">
        <v>0.5</v>
      </c>
      <c r="C21" s="1">
        <v>2.5</v>
      </c>
      <c r="D21" s="1"/>
      <c r="F21">
        <f>IF(F20&gt;72,144,IF(F20&gt;48,72,48))</f>
        <v>48</v>
      </c>
      <c r="G21" s="104"/>
      <c r="H21" t="s">
        <v>132</v>
      </c>
      <c r="I21">
        <f>$I$2-1/4-5</f>
        <v>36.75</v>
      </c>
      <c r="J21">
        <f>IF($D$75=$F$55,ROUNDDOWN($F$21/(I21+0.125),0),ROUNDDOWN(144/(I21+0.125),0))</f>
        <v>1</v>
      </c>
      <c r="K21">
        <f>$D$68-$B$78</f>
        <v>2</v>
      </c>
      <c r="L21">
        <f t="shared" si="2"/>
        <v>2</v>
      </c>
    </row>
    <row r="22" spans="1:15" ht="60" hidden="1" x14ac:dyDescent="0.25">
      <c r="A22" s="1" t="s">
        <v>164</v>
      </c>
      <c r="B22" s="1">
        <f>D68</f>
        <v>2</v>
      </c>
      <c r="C22" s="1"/>
      <c r="D22" s="56">
        <f>(67.23*1.06)*1.0565</f>
        <v>75.290204700000004</v>
      </c>
      <c r="I22" t="s">
        <v>135</v>
      </c>
      <c r="J22" s="43" t="s">
        <v>143</v>
      </c>
      <c r="K22" s="43" t="s">
        <v>137</v>
      </c>
      <c r="L22" s="43" t="s">
        <v>144</v>
      </c>
    </row>
    <row r="23" spans="1:15" hidden="1" x14ac:dyDescent="0.25">
      <c r="A23" s="1" t="s">
        <v>165</v>
      </c>
      <c r="B23" s="1">
        <f>D67+D69+D70</f>
        <v>9</v>
      </c>
      <c r="D23" s="56">
        <f>(54.7*1.06)*1.0565</f>
        <v>61.257983000000003</v>
      </c>
      <c r="G23" s="81" t="s">
        <v>141</v>
      </c>
      <c r="H23" t="s">
        <v>133</v>
      </c>
      <c r="I23">
        <f>D62+D63</f>
        <v>5</v>
      </c>
      <c r="J23">
        <f>12/(I23+0.25)</f>
        <v>2.2857142857142856</v>
      </c>
      <c r="K23">
        <f>K16</f>
        <v>20</v>
      </c>
      <c r="L23">
        <f>K23/J23</f>
        <v>8.75</v>
      </c>
      <c r="M23" s="75" t="s">
        <v>145</v>
      </c>
      <c r="N23" s="75"/>
      <c r="O23">
        <f>IF(I24=1.5,K24,0)</f>
        <v>0</v>
      </c>
    </row>
    <row r="24" spans="1:15" hidden="1" x14ac:dyDescent="0.25">
      <c r="A24" s="1" t="s">
        <v>166</v>
      </c>
      <c r="B24" s="1">
        <f>D70+D68+D67</f>
        <v>9</v>
      </c>
      <c r="D24" s="56">
        <f>(44.23*1.06)*1.0565</f>
        <v>49.532734699999999</v>
      </c>
      <c r="G24" s="81"/>
      <c r="H24" t="s">
        <v>142</v>
      </c>
      <c r="I24">
        <f>D62-1/2</f>
        <v>1.5</v>
      </c>
      <c r="J24">
        <f>IF(I24=1.5,0,12/(I24+0.25))</f>
        <v>0</v>
      </c>
      <c r="K24">
        <f>K17</f>
        <v>0</v>
      </c>
      <c r="L24">
        <f>IF(I24=1.5,0,K24/J24)</f>
        <v>0</v>
      </c>
      <c r="M24" s="75" t="s">
        <v>148</v>
      </c>
      <c r="N24" s="75"/>
      <c r="O24">
        <f>ROUNDUP(L23+L24,0)</f>
        <v>9</v>
      </c>
    </row>
    <row r="25" spans="1:15" hidden="1" x14ac:dyDescent="0.25">
      <c r="A25" s="1" t="s">
        <v>168</v>
      </c>
      <c r="B25" s="1">
        <f>2*(D67+D68+D69+D70)</f>
        <v>22</v>
      </c>
    </row>
    <row r="26" spans="1:15" hidden="1" x14ac:dyDescent="0.25">
      <c r="M26" s="75" t="s">
        <v>149</v>
      </c>
      <c r="N26" s="75"/>
      <c r="O26">
        <f>IF(D75=F55,0,ROUNDDOWN(O24/10,0))</f>
        <v>0</v>
      </c>
    </row>
    <row r="27" spans="1:15" hidden="1" x14ac:dyDescent="0.25">
      <c r="A27" s="1" t="s">
        <v>191</v>
      </c>
      <c r="B27" s="56">
        <v>18.911349999999999</v>
      </c>
      <c r="M27" s="75" t="s">
        <v>150</v>
      </c>
      <c r="N27" s="75"/>
      <c r="O27">
        <f>O24-10*O26</f>
        <v>9</v>
      </c>
    </row>
    <row r="28" spans="1:15" hidden="1" x14ac:dyDescent="0.25">
      <c r="A28" s="1" t="s">
        <v>192</v>
      </c>
      <c r="B28" s="56">
        <v>25.282045</v>
      </c>
      <c r="M28" s="1"/>
      <c r="N28" s="1"/>
    </row>
    <row r="29" spans="1:15" hidden="1" x14ac:dyDescent="0.25">
      <c r="A29" s="1" t="s">
        <v>9</v>
      </c>
      <c r="B29" s="56">
        <v>22.693619999999999</v>
      </c>
    </row>
    <row r="30" spans="1:15" hidden="1" x14ac:dyDescent="0.25">
      <c r="A30" s="1" t="s">
        <v>182</v>
      </c>
      <c r="B30" s="56">
        <v>29.07488</v>
      </c>
    </row>
    <row r="31" spans="1:15" hidden="1" x14ac:dyDescent="0.25">
      <c r="A31" s="1" t="s">
        <v>10</v>
      </c>
      <c r="B31" s="56">
        <v>54.230145</v>
      </c>
      <c r="G31" t="s">
        <v>39</v>
      </c>
      <c r="I31">
        <f>2*D67+D68+2*D69+2*D70+D71+D72+D73</f>
        <v>20</v>
      </c>
    </row>
    <row r="32" spans="1:15" hidden="1" x14ac:dyDescent="0.25">
      <c r="A32" s="1" t="s">
        <v>54</v>
      </c>
      <c r="B32" s="56">
        <v>8.5787799999999983</v>
      </c>
      <c r="G32" t="s">
        <v>169</v>
      </c>
      <c r="I32">
        <f>2*(D67+D68+D70)</f>
        <v>18</v>
      </c>
    </row>
    <row r="33" spans="1:11" hidden="1" x14ac:dyDescent="0.25">
      <c r="A33" s="1" t="s">
        <v>30</v>
      </c>
      <c r="B33" s="56">
        <v>2.4193850000000001</v>
      </c>
      <c r="G33" t="s">
        <v>170</v>
      </c>
      <c r="I33">
        <f>2*D69</f>
        <v>4</v>
      </c>
    </row>
    <row r="34" spans="1:11" hidden="1" x14ac:dyDescent="0.25">
      <c r="A34" s="1" t="s">
        <v>29</v>
      </c>
      <c r="B34" s="56">
        <v>3.57097</v>
      </c>
    </row>
    <row r="35" spans="1:11" hidden="1" x14ac:dyDescent="0.25">
      <c r="A35" s="1" t="s">
        <v>11</v>
      </c>
      <c r="B35" s="56">
        <v>3.0744150000000001</v>
      </c>
      <c r="H35" s="81" t="s">
        <v>172</v>
      </c>
      <c r="I35" s="81" t="s">
        <v>173</v>
      </c>
    </row>
    <row r="36" spans="1:11" hidden="1" x14ac:dyDescent="0.25">
      <c r="A36" s="1" t="s">
        <v>12</v>
      </c>
      <c r="B36" s="56">
        <v>15.276990000000001</v>
      </c>
      <c r="H36" s="81"/>
      <c r="I36" s="81"/>
      <c r="K36" t="s">
        <v>174</v>
      </c>
    </row>
    <row r="37" spans="1:11" hidden="1" x14ac:dyDescent="0.25">
      <c r="A37" s="1" t="s">
        <v>48</v>
      </c>
      <c r="B37" s="56">
        <v>13.533765000000001</v>
      </c>
      <c r="G37" s="81" t="s">
        <v>171</v>
      </c>
      <c r="H37">
        <v>108.53</v>
      </c>
      <c r="I37" s="42">
        <f>D5-136.43+59.85</f>
        <v>122.63363999999999</v>
      </c>
      <c r="K37" s="42">
        <f>H37-I37</f>
        <v>-14.103639999999984</v>
      </c>
    </row>
    <row r="38" spans="1:11" hidden="1" x14ac:dyDescent="0.25">
      <c r="A38" s="1" t="s">
        <v>100</v>
      </c>
      <c r="B38" s="56">
        <v>39.925134999999997</v>
      </c>
      <c r="G38" s="81"/>
    </row>
    <row r="39" spans="1:11" hidden="1" x14ac:dyDescent="0.25">
      <c r="A39" s="1" t="s">
        <v>102</v>
      </c>
      <c r="B39" s="56">
        <v>211.27886999999998</v>
      </c>
    </row>
    <row r="40" spans="1:11" hidden="1" x14ac:dyDescent="0.25">
      <c r="A40" s="1" t="s">
        <v>186</v>
      </c>
      <c r="B40" s="56">
        <v>39.005980000000001</v>
      </c>
      <c r="E40" s="1" t="s">
        <v>194</v>
      </c>
      <c r="F40" s="56">
        <v>43.295369999999998</v>
      </c>
    </row>
    <row r="41" spans="1:11" hidden="1" x14ac:dyDescent="0.25">
      <c r="A41" s="1" t="s">
        <v>187</v>
      </c>
      <c r="B41" s="56">
        <v>40.199824999999997</v>
      </c>
      <c r="E41" s="1" t="s">
        <v>195</v>
      </c>
      <c r="F41" s="56">
        <v>45.080855</v>
      </c>
    </row>
    <row r="42" spans="1:11" hidden="1" x14ac:dyDescent="0.25">
      <c r="A42" s="1" t="s">
        <v>188</v>
      </c>
      <c r="B42" s="56">
        <v>59.322474999999997</v>
      </c>
      <c r="G42" t="s">
        <v>177</v>
      </c>
      <c r="H42">
        <f>ROUND(I3/13+1,0)</f>
        <v>4</v>
      </c>
    </row>
    <row r="43" spans="1:11" hidden="1" x14ac:dyDescent="0.25">
      <c r="A43" s="1" t="s">
        <v>189</v>
      </c>
      <c r="B43" s="56">
        <v>76.902635000000004</v>
      </c>
    </row>
    <row r="44" spans="1:11" hidden="1" x14ac:dyDescent="0.25">
      <c r="A44" s="1" t="s">
        <v>168</v>
      </c>
      <c r="B44" s="56">
        <v>3.8773550000000001</v>
      </c>
    </row>
    <row r="45" spans="1:11" hidden="1" x14ac:dyDescent="0.25">
      <c r="A45" s="1"/>
      <c r="B45" s="44"/>
    </row>
    <row r="46" spans="1:11" hidden="1" x14ac:dyDescent="0.25">
      <c r="A46" s="1" t="s">
        <v>179</v>
      </c>
      <c r="B46" s="44"/>
    </row>
    <row r="47" spans="1:11" hidden="1" x14ac:dyDescent="0.25">
      <c r="A47" s="37" t="s">
        <v>87</v>
      </c>
      <c r="B47" s="44"/>
    </row>
    <row r="48" spans="1:11" hidden="1" x14ac:dyDescent="0.25">
      <c r="A48" s="37"/>
      <c r="B48" s="49">
        <f>B78</f>
        <v>0</v>
      </c>
      <c r="C48">
        <f>D68</f>
        <v>2</v>
      </c>
      <c r="D48">
        <f>IF(B48&gt;C48,1,0)</f>
        <v>0</v>
      </c>
    </row>
    <row r="49" spans="1:12" hidden="1" x14ac:dyDescent="0.25">
      <c r="A49" s="37"/>
      <c r="B49" s="49">
        <f t="shared" ref="B49:B50" si="3">B79</f>
        <v>0</v>
      </c>
      <c r="C49">
        <f>D67+D69+D70</f>
        <v>9</v>
      </c>
      <c r="D49">
        <f>IF(B49&gt;C49,1,0)</f>
        <v>0</v>
      </c>
    </row>
    <row r="50" spans="1:12" hidden="1" x14ac:dyDescent="0.25">
      <c r="A50" s="37"/>
      <c r="B50" s="49">
        <f t="shared" si="3"/>
        <v>0</v>
      </c>
      <c r="C50">
        <f>D67+D68+D70</f>
        <v>9</v>
      </c>
      <c r="D50">
        <f>IF(B50&gt;C50,1,0)</f>
        <v>0</v>
      </c>
    </row>
    <row r="51" spans="1:12" hidden="1" x14ac:dyDescent="0.25">
      <c r="A51" s="37"/>
      <c r="B51" s="44"/>
      <c r="D51">
        <f>SUM(D48:D50)</f>
        <v>0</v>
      </c>
    </row>
    <row r="52" spans="1:12" hidden="1" x14ac:dyDescent="0.25">
      <c r="A52" s="37" t="s">
        <v>88</v>
      </c>
      <c r="B52" s="44"/>
    </row>
    <row r="53" spans="1:12" hidden="1" x14ac:dyDescent="0.25">
      <c r="A53" s="37"/>
      <c r="B53" s="50">
        <f>IF(D65=10,1,0)</f>
        <v>0</v>
      </c>
      <c r="C53">
        <f>IF(D61&gt;8,1,0)</f>
        <v>0</v>
      </c>
      <c r="D53">
        <f>SUM(B53:C53)</f>
        <v>0</v>
      </c>
    </row>
    <row r="54" spans="1:12" hidden="1" x14ac:dyDescent="0.25">
      <c r="A54" s="37"/>
      <c r="B54" s="44"/>
      <c r="I54" t="b">
        <f>AND(D75=F55,F17&gt;72)</f>
        <v>0</v>
      </c>
      <c r="J54" t="b">
        <f>AND(D75=F55,F20&gt;72)</f>
        <v>0</v>
      </c>
      <c r="L54" t="b">
        <f>AND(I54,J54)</f>
        <v>0</v>
      </c>
    </row>
    <row r="55" spans="1:12" hidden="1" x14ac:dyDescent="0.25">
      <c r="A55" s="37" t="s">
        <v>89</v>
      </c>
      <c r="B55" s="44"/>
      <c r="F55" t="s">
        <v>91</v>
      </c>
      <c r="G55" t="s">
        <v>92</v>
      </c>
    </row>
    <row r="56" spans="1:12" hidden="1" x14ac:dyDescent="0.25">
      <c r="A56" s="37"/>
      <c r="B56" s="44"/>
    </row>
    <row r="57" spans="1:12" x14ac:dyDescent="0.25">
      <c r="A57" s="89" t="s">
        <v>196</v>
      </c>
      <c r="B57" s="89"/>
      <c r="C57" s="89"/>
      <c r="D57" s="89"/>
      <c r="E57" s="89"/>
      <c r="F57" s="89"/>
      <c r="G57" s="89"/>
      <c r="H57" s="89"/>
      <c r="I57" s="48"/>
    </row>
    <row r="58" spans="1:12" ht="15.75" x14ac:dyDescent="0.25">
      <c r="A58" s="84" t="str">
        <f>IF(D51&gt;0,A47,IF(D53=2,A52,IF(D62&gt;3.875,A55,IF(L54,"Vinyl Lengths To Long For Courier","No Error"))))</f>
        <v>No Error</v>
      </c>
      <c r="B58" s="85"/>
      <c r="C58" s="85"/>
      <c r="D58" s="86"/>
      <c r="E58" s="19" t="s">
        <v>60</v>
      </c>
      <c r="F58" s="105"/>
      <c r="G58" s="106"/>
      <c r="H58" s="107"/>
    </row>
    <row r="59" spans="1:12" ht="15.75" x14ac:dyDescent="0.25">
      <c r="A59" s="84" t="str">
        <f>IF(D61&gt;8,"Glass Reveals Over 8 Inches Must Use at Least 12mm Glass","Please Confirm Glass Thickness")</f>
        <v>Please Confirm Glass Thickness</v>
      </c>
      <c r="B59" s="85"/>
      <c r="C59" s="85"/>
      <c r="D59" s="86"/>
      <c r="E59" s="19" t="s">
        <v>61</v>
      </c>
      <c r="F59" s="105"/>
      <c r="G59" s="106"/>
      <c r="H59" s="107"/>
    </row>
    <row r="60" spans="1:12" x14ac:dyDescent="0.25">
      <c r="A60" s="102" t="s">
        <v>4</v>
      </c>
      <c r="B60" s="97"/>
      <c r="C60" s="97"/>
      <c r="D60" s="45">
        <v>36</v>
      </c>
      <c r="E60" s="19" t="s">
        <v>74</v>
      </c>
      <c r="F60" s="105"/>
      <c r="G60" s="106"/>
      <c r="H60" s="107"/>
    </row>
    <row r="61" spans="1:12" x14ac:dyDescent="0.25">
      <c r="A61" s="78" t="s">
        <v>42</v>
      </c>
      <c r="B61" s="81"/>
      <c r="C61" s="81"/>
      <c r="D61" s="23">
        <v>2</v>
      </c>
      <c r="E61" s="15" t="s">
        <v>64</v>
      </c>
      <c r="F61" s="70">
        <f>I2</f>
        <v>42</v>
      </c>
      <c r="G61" s="71"/>
      <c r="H61" s="99"/>
    </row>
    <row r="62" spans="1:12" x14ac:dyDescent="0.25">
      <c r="A62" s="78" t="s">
        <v>40</v>
      </c>
      <c r="B62" s="81"/>
      <c r="C62" s="81"/>
      <c r="D62" s="23">
        <v>2</v>
      </c>
      <c r="E62" s="20" t="s">
        <v>175</v>
      </c>
      <c r="F62" s="70">
        <f>IF(D65=13,I16,I19)</f>
        <v>29</v>
      </c>
      <c r="G62" s="71"/>
      <c r="H62" s="99"/>
    </row>
    <row r="63" spans="1:12" x14ac:dyDescent="0.25">
      <c r="A63" s="78" t="s">
        <v>122</v>
      </c>
      <c r="B63" s="81"/>
      <c r="C63" s="81"/>
      <c r="D63" s="23">
        <v>3</v>
      </c>
      <c r="E63" s="20" t="s">
        <v>67</v>
      </c>
      <c r="F63" s="70">
        <f>IF(D65=13,I18,I21)</f>
        <v>36.75</v>
      </c>
      <c r="G63" s="71"/>
      <c r="H63" s="99"/>
    </row>
    <row r="64" spans="1:12" x14ac:dyDescent="0.25">
      <c r="A64" s="74" t="s">
        <v>154</v>
      </c>
      <c r="B64" s="75"/>
      <c r="C64" s="75"/>
      <c r="D64" s="16">
        <v>1.5</v>
      </c>
      <c r="E64" s="15" t="s">
        <v>146</v>
      </c>
      <c r="F64" s="70">
        <f>I23</f>
        <v>5</v>
      </c>
      <c r="G64" s="71"/>
      <c r="H64" s="99"/>
    </row>
    <row r="65" spans="1:9" x14ac:dyDescent="0.25">
      <c r="A65" s="79" t="s">
        <v>190</v>
      </c>
      <c r="B65" s="80"/>
      <c r="C65" s="80"/>
      <c r="D65" s="17">
        <v>12</v>
      </c>
      <c r="E65" s="15" t="s">
        <v>147</v>
      </c>
      <c r="F65" s="70">
        <f>I24</f>
        <v>1.5</v>
      </c>
      <c r="G65" s="71"/>
      <c r="H65" s="99"/>
    </row>
    <row r="66" spans="1:9" x14ac:dyDescent="0.25">
      <c r="A66" s="72" t="s">
        <v>58</v>
      </c>
      <c r="B66" s="73"/>
      <c r="C66" s="73"/>
      <c r="D66" s="22"/>
      <c r="E66" s="20" t="s">
        <v>65</v>
      </c>
      <c r="F66" s="70">
        <f>I3</f>
        <v>34</v>
      </c>
      <c r="G66" s="71"/>
      <c r="H66" s="99"/>
    </row>
    <row r="67" spans="1:9" x14ac:dyDescent="0.25">
      <c r="A67" s="74" t="s">
        <v>5</v>
      </c>
      <c r="B67" s="75"/>
      <c r="C67" s="75"/>
      <c r="D67" s="16">
        <v>7</v>
      </c>
      <c r="E67" s="15" t="s">
        <v>47</v>
      </c>
      <c r="F67" s="70">
        <f>I4</f>
        <v>45</v>
      </c>
      <c r="G67" s="71"/>
      <c r="H67" s="99"/>
    </row>
    <row r="68" spans="1:9" x14ac:dyDescent="0.25">
      <c r="A68" s="74" t="s">
        <v>6</v>
      </c>
      <c r="B68" s="75"/>
      <c r="C68" s="75"/>
      <c r="D68" s="16">
        <v>2</v>
      </c>
      <c r="E68" s="20" t="s">
        <v>176</v>
      </c>
      <c r="F68" s="70">
        <f>IF(D65=13,I17,I20)</f>
        <v>29</v>
      </c>
      <c r="G68" s="71"/>
      <c r="H68" s="99"/>
    </row>
    <row r="69" spans="1:9" x14ac:dyDescent="0.25">
      <c r="A69" s="74" t="s">
        <v>44</v>
      </c>
      <c r="B69" s="75"/>
      <c r="C69" s="75"/>
      <c r="D69" s="16">
        <v>2</v>
      </c>
      <c r="E69" s="94" t="s">
        <v>107</v>
      </c>
      <c r="F69" s="95"/>
      <c r="G69" s="95"/>
      <c r="H69" s="96"/>
    </row>
    <row r="70" spans="1:9" x14ac:dyDescent="0.25">
      <c r="A70" s="74" t="s">
        <v>43</v>
      </c>
      <c r="B70" s="75"/>
      <c r="C70" s="75"/>
      <c r="D70" s="16">
        <v>0</v>
      </c>
      <c r="E70" s="41"/>
      <c r="F70" s="18" t="s">
        <v>59</v>
      </c>
      <c r="G70" s="18" t="s">
        <v>41</v>
      </c>
      <c r="H70" s="30" t="s">
        <v>38</v>
      </c>
      <c r="I70" s="1" t="s">
        <v>183</v>
      </c>
    </row>
    <row r="71" spans="1:9" x14ac:dyDescent="0.25">
      <c r="A71" s="74" t="s">
        <v>7</v>
      </c>
      <c r="B71" s="75"/>
      <c r="C71" s="75"/>
      <c r="D71" s="16">
        <v>0</v>
      </c>
      <c r="E71" s="4" t="str">
        <f>IF($D$65=13,IF(D75=F55,IF(F18&gt;60,"Gasket 13mm 10 Ft Cut to 72 Inches",IF(F18&gt;40,"Gasket 13mm 10 Ft Cut To 60 Inches","Gasket 13mm 10 Ft Cut to 40 Inches")),"Gasket 13mm (10 Ft Lengths)"),IF(D75=F55,IF(F21&gt;72,"Gasket 12mm 12Ft",IF(F21&gt;48,"Gasket 12mm 12 Ft Cut to 72 Inches", "Gasket 12mm 12 Ft Cut to 48 Inches")),"Gasket 12mm 12 Ft Lengths"))</f>
        <v>Gasket 12mm 12 Ft Cut to 48 Inches</v>
      </c>
      <c r="F71" s="1">
        <f>IF($D$65=13,O16,O19)</f>
        <v>8</v>
      </c>
      <c r="G71" s="7">
        <f>IF($D$65=13,IF(D75=F55,B28*(1-$D$74),B27*(1-$D$74)),IF(D75=F55,B30*(1-$D$74),B29*(1-$D$74)))</f>
        <v>14.828188800000001</v>
      </c>
      <c r="H71" s="13">
        <f t="shared" ref="H71:H86" si="4">G71*F71</f>
        <v>118.62551040000001</v>
      </c>
    </row>
    <row r="72" spans="1:9" x14ac:dyDescent="0.25">
      <c r="A72" s="74" t="s">
        <v>152</v>
      </c>
      <c r="B72" s="75"/>
      <c r="C72" s="75"/>
      <c r="D72" s="16">
        <v>0</v>
      </c>
      <c r="E72" s="4" t="s">
        <v>10</v>
      </c>
      <c r="F72" s="1">
        <f>IF(D75=F55,0,IF(O27&lt;7,O26,O26+1))</f>
        <v>0</v>
      </c>
      <c r="G72" s="7">
        <f>B31*(1-$D$74)</f>
        <v>27.65737395</v>
      </c>
      <c r="H72" s="13">
        <f t="shared" si="4"/>
        <v>0</v>
      </c>
    </row>
    <row r="73" spans="1:9" x14ac:dyDescent="0.25">
      <c r="A73" s="74" t="s">
        <v>153</v>
      </c>
      <c r="B73" s="75"/>
      <c r="C73" s="75"/>
      <c r="D73" s="16">
        <v>0</v>
      </c>
      <c r="E73" s="4" t="s">
        <v>54</v>
      </c>
      <c r="F73" s="1">
        <f>IF(D75=F55,O24,IF(O27&lt;7,O27,0))</f>
        <v>9</v>
      </c>
      <c r="G73" s="7">
        <f>B32*(1-$D$74)</f>
        <v>4.3751777999999995</v>
      </c>
      <c r="H73" s="13">
        <f t="shared" si="4"/>
        <v>39.376600199999999</v>
      </c>
    </row>
    <row r="74" spans="1:9" x14ac:dyDescent="0.25">
      <c r="A74" s="70" t="s">
        <v>8</v>
      </c>
      <c r="B74" s="71"/>
      <c r="C74" s="71"/>
      <c r="D74" s="36">
        <v>0.49</v>
      </c>
      <c r="E74" s="4" t="s">
        <v>30</v>
      </c>
      <c r="F74" s="1">
        <f>O23</f>
        <v>0</v>
      </c>
      <c r="G74" s="7">
        <f>B33*(1-$D$74)</f>
        <v>1.2338863500000001</v>
      </c>
      <c r="H74" s="13">
        <f t="shared" si="4"/>
        <v>0</v>
      </c>
    </row>
    <row r="75" spans="1:9" x14ac:dyDescent="0.25">
      <c r="A75" s="70" t="s">
        <v>180</v>
      </c>
      <c r="B75" s="71"/>
      <c r="C75" s="71"/>
      <c r="D75" s="36" t="s">
        <v>91</v>
      </c>
      <c r="E75" s="4" t="str">
        <f>IF($D$65=10,"Glass Wedge 10mm (4 Inch Pieces)","Glass Wedge 12mm (3 Inch Pieces)")</f>
        <v>Glass Wedge 12mm (3 Inch Pieces)</v>
      </c>
      <c r="F75" s="1">
        <f>I31</f>
        <v>20</v>
      </c>
      <c r="G75" s="7">
        <f>IF($D$65=10,B34*(1-$D$74),B35*(1-$D$74))</f>
        <v>1.5679516500000001</v>
      </c>
      <c r="H75" s="13">
        <f t="shared" si="4"/>
        <v>31.359033000000004</v>
      </c>
    </row>
    <row r="76" spans="1:9" x14ac:dyDescent="0.25">
      <c r="A76" s="67" t="s">
        <v>71</v>
      </c>
      <c r="B76" s="68"/>
      <c r="C76" s="68"/>
      <c r="D76" s="69"/>
      <c r="E76" s="4" t="s">
        <v>62</v>
      </c>
      <c r="F76" s="1">
        <f>D67+D68</f>
        <v>9</v>
      </c>
      <c r="G76" s="7">
        <f>$M$2*(1-$D$74)</f>
        <v>87.891502800000012</v>
      </c>
      <c r="H76" s="13">
        <f t="shared" si="4"/>
        <v>791.02352520000011</v>
      </c>
      <c r="I76" s="53">
        <f>J$6</f>
        <v>10.043000000000001</v>
      </c>
    </row>
    <row r="77" spans="1:9" x14ac:dyDescent="0.25">
      <c r="A77" s="4"/>
      <c r="B77" s="1" t="s">
        <v>59</v>
      </c>
      <c r="C77" s="1" t="s">
        <v>41</v>
      </c>
      <c r="D77" s="5" t="s">
        <v>38</v>
      </c>
      <c r="E77" s="4" t="s">
        <v>45</v>
      </c>
      <c r="F77" s="1">
        <f>D69</f>
        <v>2</v>
      </c>
      <c r="G77" s="7">
        <f>$M$2*(1-$D$74)</f>
        <v>87.891502800000012</v>
      </c>
      <c r="H77" s="13">
        <f t="shared" si="4"/>
        <v>175.78300560000002</v>
      </c>
      <c r="I77" s="53">
        <f t="shared" ref="I77:I78" si="5">J$6</f>
        <v>10.043000000000001</v>
      </c>
    </row>
    <row r="78" spans="1:9" x14ac:dyDescent="0.25">
      <c r="A78" s="25" t="s">
        <v>49</v>
      </c>
      <c r="B78" s="26">
        <v>0</v>
      </c>
      <c r="C78" s="7">
        <f>D22*(1-$D$74)</f>
        <v>38.398004397000001</v>
      </c>
      <c r="D78" s="13">
        <f>C78*B78</f>
        <v>0</v>
      </c>
      <c r="E78" s="4" t="s">
        <v>57</v>
      </c>
      <c r="F78" s="1">
        <f>D70</f>
        <v>0</v>
      </c>
      <c r="G78" s="7">
        <f>$M$2*(1-$D$74)</f>
        <v>87.891502800000012</v>
      </c>
      <c r="H78" s="13">
        <f t="shared" si="4"/>
        <v>0</v>
      </c>
      <c r="I78" s="53">
        <f t="shared" si="5"/>
        <v>10.043000000000001</v>
      </c>
    </row>
    <row r="79" spans="1:9" x14ac:dyDescent="0.25">
      <c r="A79" s="25" t="s">
        <v>72</v>
      </c>
      <c r="B79" s="26">
        <v>0</v>
      </c>
      <c r="C79" s="7">
        <f>D23*(1-$D$74)</f>
        <v>31.241571330000003</v>
      </c>
      <c r="D79" s="13">
        <f>C79*B79</f>
        <v>0</v>
      </c>
      <c r="E79" s="4" t="s">
        <v>46</v>
      </c>
      <c r="F79" s="1">
        <f>D71</f>
        <v>0</v>
      </c>
      <c r="G79" s="7">
        <f>$M$3*(1-$D$74)</f>
        <v>28.368609750000001</v>
      </c>
      <c r="H79" s="13">
        <f t="shared" si="4"/>
        <v>0</v>
      </c>
      <c r="I79" s="53">
        <f>J7</f>
        <v>3.1680000000000001</v>
      </c>
    </row>
    <row r="80" spans="1:9" x14ac:dyDescent="0.25">
      <c r="A80" s="25"/>
      <c r="B80" s="27"/>
      <c r="C80" s="7"/>
      <c r="D80" s="13"/>
      <c r="E80" s="4" t="str">
        <f>IF(D64=0.5,"Infinity Mid/Inside Plates Standard",IF(D64=1.5,"Infinity Mid/Inside Plates Extended","Infinity Mid/Inside Plates Custom"))</f>
        <v>Infinity Mid/Inside Plates Extended</v>
      </c>
      <c r="F80" s="1">
        <f>I32</f>
        <v>18</v>
      </c>
      <c r="G80" s="7">
        <f>IF($D$64=0.5,B40*(1-$D$74),IF($D$64=1.5,F40*(1-$D$74),B42*(1-$D$74)))</f>
        <v>22.080638699999998</v>
      </c>
      <c r="H80" s="13">
        <f t="shared" si="4"/>
        <v>397.45149659999998</v>
      </c>
      <c r="I80" s="53">
        <v>1.03</v>
      </c>
    </row>
    <row r="81" spans="1:9" x14ac:dyDescent="0.25">
      <c r="A81" s="76" t="s">
        <v>51</v>
      </c>
      <c r="B81" s="1"/>
      <c r="C81" s="1"/>
      <c r="D81" s="5"/>
      <c r="E81" s="4" t="str">
        <f>IF(D64=0.5,"Infinity Outside Plates Standard",IF(D64=1.5,"Infinity Outside Plates Extended","Infinity Outside Plates Custom"))</f>
        <v>Infinity Outside Plates Extended</v>
      </c>
      <c r="F81" s="1">
        <f>I33</f>
        <v>4</v>
      </c>
      <c r="G81" s="7">
        <f>IF($D$64=0.5,B41*(1-$D$74),IF($D$64=1.5,F41*(1-$D$74),B43*(1-$D$74)))</f>
        <v>22.991236050000001</v>
      </c>
      <c r="H81" s="13">
        <f t="shared" si="4"/>
        <v>91.964944200000005</v>
      </c>
      <c r="I81" s="53">
        <v>1.03</v>
      </c>
    </row>
    <row r="82" spans="1:9" x14ac:dyDescent="0.25">
      <c r="A82" s="77"/>
      <c r="B82" s="46">
        <v>0</v>
      </c>
      <c r="C82" s="32">
        <f>D24*(1-$D$74)</f>
        <v>25.261694696999999</v>
      </c>
      <c r="D82" s="33">
        <f>C82*B82</f>
        <v>0</v>
      </c>
      <c r="E82" s="4" t="s">
        <v>12</v>
      </c>
      <c r="F82" s="1">
        <f>D68-B78</f>
        <v>2</v>
      </c>
      <c r="G82" s="7">
        <f>B36*(1-$D$74)</f>
        <v>7.7912649000000007</v>
      </c>
      <c r="H82" s="13">
        <f t="shared" si="4"/>
        <v>15.582529800000001</v>
      </c>
      <c r="I82" s="53">
        <v>1.03</v>
      </c>
    </row>
    <row r="83" spans="1:9" x14ac:dyDescent="0.25">
      <c r="A83" s="67" t="s">
        <v>99</v>
      </c>
      <c r="B83" s="68"/>
      <c r="C83" s="68"/>
      <c r="D83" s="69"/>
      <c r="E83" s="4" t="s">
        <v>178</v>
      </c>
      <c r="F83" s="1">
        <f>ROUNDUP(((F80+F81)*2)/100,0)</f>
        <v>1</v>
      </c>
      <c r="G83" s="7">
        <v>21.39</v>
      </c>
      <c r="H83" s="13">
        <f t="shared" si="4"/>
        <v>21.39</v>
      </c>
      <c r="I83" s="53"/>
    </row>
    <row r="84" spans="1:9" x14ac:dyDescent="0.25">
      <c r="A84" s="4" t="s">
        <v>100</v>
      </c>
      <c r="B84" s="38">
        <v>0</v>
      </c>
      <c r="C84" s="7">
        <f>B38*(1-$D$74)</f>
        <v>20.361818849999999</v>
      </c>
      <c r="D84" s="13">
        <f>C84*B84</f>
        <v>0</v>
      </c>
      <c r="E84" s="4" t="str">
        <f>IF($D$64=0.5, "2.5 Inch End Left Posts", "2.5 Inch Custom Offset End Left Posts")</f>
        <v>2.5 Inch Custom Offset End Left Posts</v>
      </c>
      <c r="F84" s="1">
        <f>D72</f>
        <v>0</v>
      </c>
      <c r="G84" s="7">
        <f>IF(D64=0.5,$M$4*(1-$D$74),($M$4+$K$37)*(1-$D$74))</f>
        <v>87.767899200000016</v>
      </c>
      <c r="H84" s="13">
        <f t="shared" si="4"/>
        <v>0</v>
      </c>
      <c r="I84" s="53">
        <f>J$6</f>
        <v>10.043000000000001</v>
      </c>
    </row>
    <row r="85" spans="1:9" x14ac:dyDescent="0.25">
      <c r="A85" s="4" t="s">
        <v>101</v>
      </c>
      <c r="B85" s="38">
        <v>0</v>
      </c>
      <c r="C85" s="7">
        <f>B39*(1-$D$74)</f>
        <v>107.75222369999999</v>
      </c>
      <c r="D85" s="13">
        <f>C85*B85</f>
        <v>0</v>
      </c>
      <c r="E85" s="4" t="str">
        <f>IF($D$64=0.5, "2.5 Inch End Right Posts", "2.5 Inch Custom Offset End Right Posts")</f>
        <v>2.5 Inch Custom Offset End Right Posts</v>
      </c>
      <c r="F85" s="1">
        <f>D73</f>
        <v>0</v>
      </c>
      <c r="G85" s="7">
        <f>IF(D64=0.5,$M$4*(1-$D$74),($M$4+$K$37)*(1-$D$74))</f>
        <v>87.767899200000016</v>
      </c>
      <c r="H85" s="13">
        <f t="shared" si="4"/>
        <v>0</v>
      </c>
      <c r="I85" s="53">
        <f t="shared" ref="I85" si="6">J$6</f>
        <v>10.043000000000001</v>
      </c>
    </row>
    <row r="86" spans="1:9" x14ac:dyDescent="0.25">
      <c r="A86" s="4"/>
      <c r="B86" s="1"/>
      <c r="C86" s="7"/>
      <c r="D86" s="13"/>
      <c r="E86" s="11" t="s">
        <v>158</v>
      </c>
      <c r="F86" s="8">
        <f>D72+D73</f>
        <v>0</v>
      </c>
      <c r="G86" s="32">
        <f>B37*(1-$D$74)</f>
        <v>6.9022201500000007</v>
      </c>
      <c r="H86" s="33">
        <f t="shared" si="4"/>
        <v>0</v>
      </c>
      <c r="I86" s="53">
        <v>1.76</v>
      </c>
    </row>
    <row r="87" spans="1:9" x14ac:dyDescent="0.25">
      <c r="A87" s="78" t="s">
        <v>167</v>
      </c>
      <c r="D87" s="47"/>
      <c r="E87" s="24" t="str">
        <f>IF(D65=10,"10mm Job Cost","12mm Job Cost")</f>
        <v>12mm Job Cost</v>
      </c>
      <c r="F87" s="98">
        <f>H86+H85+H84+H82+H81+H80+H79+H78+H77+H76+H75+H74+H73+H72+H71+D88+D85+D84+D82+D79+D78+H83</f>
        <v>1682.5566450000001</v>
      </c>
      <c r="G87" s="98"/>
      <c r="H87" s="109"/>
    </row>
    <row r="88" spans="1:9" ht="15.75" x14ac:dyDescent="0.25">
      <c r="A88" s="110"/>
      <c r="B88" s="39">
        <v>0</v>
      </c>
      <c r="C88" s="32">
        <f>B44*(1-$D$74)</f>
        <v>1.97745105</v>
      </c>
      <c r="D88" s="33">
        <f>C88*B88</f>
        <v>0</v>
      </c>
      <c r="E88" s="100" t="str">
        <f>IF(F59=S1,"CONTACT IAS FOR CUSTOM COLOR PRICING","STANDARD COLOR")</f>
        <v>STANDARD COLOR</v>
      </c>
      <c r="F88" s="101"/>
      <c r="G88" s="101"/>
      <c r="H88" s="108"/>
    </row>
    <row r="89" spans="1:9" x14ac:dyDescent="0.25">
      <c r="A89" s="92" t="s">
        <v>103</v>
      </c>
      <c r="B89" s="93"/>
      <c r="C89" s="93"/>
      <c r="D89" s="52">
        <f>D71*H42</f>
        <v>0</v>
      </c>
      <c r="E89" s="92" t="s">
        <v>104</v>
      </c>
      <c r="F89" s="93"/>
      <c r="G89" s="93"/>
      <c r="H89" s="52">
        <f>(D67+D68+D69+D70+D72+D73)*4</f>
        <v>44</v>
      </c>
    </row>
  </sheetData>
  <sheetProtection algorithmName="SHA-512" hashValue="7s5nm3nsAduOTG8G1cpkGpdCMMOcBH0m14FoumlEE+q4hqeSmxNUjDb+8Keov+SzAc72IpNZW98tfbHpvWTzYg==" saltValue="YkaraSf4Xkn3I6vhMrOntQ==" spinCount="100000" sheet="1" objects="1" scenarios="1"/>
  <protectedRanges>
    <protectedRange sqref="D75" name="Range8"/>
    <protectedRange sqref="B84:B85" name="Range6"/>
    <protectedRange sqref="B82" name="Range5"/>
    <protectedRange sqref="B78:B79" name="Range4"/>
    <protectedRange sqref="D67:D75" name="Range3"/>
    <protectedRange sqref="D60:D65" name="Range2"/>
    <protectedRange sqref="F58:H60" name="Range1"/>
    <protectedRange sqref="B88" name="Range7"/>
  </protectedRanges>
  <dataConsolidate/>
  <mergeCells count="53">
    <mergeCell ref="E89:G89"/>
    <mergeCell ref="A89:C89"/>
    <mergeCell ref="A57:H57"/>
    <mergeCell ref="A58:D58"/>
    <mergeCell ref="A59:D59"/>
    <mergeCell ref="E88:H88"/>
    <mergeCell ref="A76:D76"/>
    <mergeCell ref="A83:D83"/>
    <mergeCell ref="F87:H87"/>
    <mergeCell ref="F64:H64"/>
    <mergeCell ref="F65:H65"/>
    <mergeCell ref="F66:H66"/>
    <mergeCell ref="F67:H67"/>
    <mergeCell ref="F68:H68"/>
    <mergeCell ref="A87:A88"/>
    <mergeCell ref="A81:A82"/>
    <mergeCell ref="E69:H69"/>
    <mergeCell ref="M23:N23"/>
    <mergeCell ref="M19:N19"/>
    <mergeCell ref="M16:N16"/>
    <mergeCell ref="M24:N24"/>
    <mergeCell ref="M26:N26"/>
    <mergeCell ref="M27:N27"/>
    <mergeCell ref="H35:H36"/>
    <mergeCell ref="I35:I36"/>
    <mergeCell ref="F58:H58"/>
    <mergeCell ref="F63:H63"/>
    <mergeCell ref="F62:H62"/>
    <mergeCell ref="G37:G38"/>
    <mergeCell ref="G23:G24"/>
    <mergeCell ref="F59:H59"/>
    <mergeCell ref="F60:H60"/>
    <mergeCell ref="A74:C74"/>
    <mergeCell ref="A68:C68"/>
    <mergeCell ref="A69:C69"/>
    <mergeCell ref="A70:C70"/>
    <mergeCell ref="A71:C71"/>
    <mergeCell ref="A75:C75"/>
    <mergeCell ref="A15:C15"/>
    <mergeCell ref="G14:L14"/>
    <mergeCell ref="G16:G18"/>
    <mergeCell ref="G19:G21"/>
    <mergeCell ref="F61:H61"/>
    <mergeCell ref="A60:C60"/>
    <mergeCell ref="A61:C61"/>
    <mergeCell ref="A62:C62"/>
    <mergeCell ref="A65:C65"/>
    <mergeCell ref="A63:C63"/>
    <mergeCell ref="A72:C72"/>
    <mergeCell ref="A73:C73"/>
    <mergeCell ref="A64:C64"/>
    <mergeCell ref="A66:C66"/>
    <mergeCell ref="A67:C67"/>
  </mergeCells>
  <conditionalFormatting sqref="A58:D58">
    <cfRule type="notContainsText" dxfId="0" priority="1" operator="notContains" text="No Error">
      <formula>ISERROR(SEARCH("No Error",A58))</formula>
    </cfRule>
  </conditionalFormatting>
  <dataValidations count="8">
    <dataValidation type="list" operator="equal" allowBlank="1" showInputMessage="1" showErrorMessage="1" errorTitle="Incorrect Glass Thickness" error="Error: Infinity Glass Rail Can Only Support 10mm or 12mm Glass" sqref="D65" xr:uid="{00000000-0002-0000-0100-000000000000}">
      <formula1>$B$16:$C$16</formula1>
    </dataValidation>
    <dataValidation type="whole" operator="greaterThanOrEqual" allowBlank="1" showInputMessage="1" showErrorMessage="1" errorTitle="Incorrect Quantity" error="Quantity Must be a Whole Number Greater Than or Equal To Zero_x000a_" sqref="D67:D73" xr:uid="{00000000-0002-0000-0100-000001000000}">
      <formula1>0</formula1>
    </dataValidation>
    <dataValidation type="whole" operator="lessThanOrEqual" allowBlank="1" showInputMessage="1" showErrorMessage="1" errorTitle="Remove Track Error" error="Error: Tracks Can Only Be Removed From End Posts, Cannot Remove More Tracks Than The Number of End Posts" sqref="B78" xr:uid="{00000000-0002-0000-0100-000002000000}">
      <formula1>B22</formula1>
    </dataValidation>
    <dataValidation type="whole" operator="lessThanOrEqual" allowBlank="1" showInputMessage="1" showErrorMessage="1" errorTitle="Cut Down Track Error" error="Error: Cannot Cut Down More Tracks than the combined number of Infinity Mid, Outside, and Inside Posts" sqref="B79" xr:uid="{00000000-0002-0000-0100-000003000000}">
      <formula1>B23</formula1>
    </dataValidation>
    <dataValidation type="list" allowBlank="1" showInputMessage="1" showErrorMessage="1" sqref="F59:H59" xr:uid="{00000000-0002-0000-0100-000004000000}">
      <formula1>$S$1:$S$13</formula1>
    </dataValidation>
    <dataValidation type="whole" operator="lessThanOrEqual" allowBlank="1" showInputMessage="1" showErrorMessage="1" errorTitle="Welded Side Mount Error" error="Error: Can Only Weld Side Mounts To Mid, End, or Inside Posts.  Cannot Have More Welded Side Mounts Than the Combined Number of Those Posts_x000a_" sqref="B82" xr:uid="{00000000-0002-0000-0100-000005000000}">
      <formula1>B24</formula1>
    </dataValidation>
    <dataValidation type="whole" operator="lessThanOrEqual" allowBlank="1" showInputMessage="1" showErrorMessage="1" errorTitle="Shim Error" error="Error: Number of Base Plate Shims Cannot Exceed The Number of Base Plates" sqref="B88" xr:uid="{00000000-0002-0000-0100-000006000000}">
      <formula1>B25</formula1>
    </dataValidation>
    <dataValidation type="list" allowBlank="1" showInputMessage="1" showErrorMessage="1" sqref="D75" xr:uid="{00000000-0002-0000-0100-000007000000}">
      <formula1>$F$55:$G$55</formula1>
    </dataValidation>
  </dataValidations>
  <pageMargins left="0.7" right="0.7" top="1.1343749999999999" bottom="0.75" header="0.3" footer="0.3"/>
  <pageSetup scale="85" orientation="landscape" horizontalDpi="4294967294" verticalDpi="4294967294" r:id="rId1"/>
  <headerFooter>
    <oddHeader>&amp;L&amp;G&amp;R&amp;G</oddHeader>
    <oddFooter>&amp;CPrior to ordering it is recommended that you consult with a local engineer to determine the appropriate post spacing, 
post heights, wall fastener and deck fastener requirements for your job site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D18CC-EAA4-4B0B-B10E-64C979148426}">
  <dimension ref="A1:M23"/>
  <sheetViews>
    <sheetView workbookViewId="0">
      <selection activeCell="D17" sqref="D17"/>
    </sheetView>
  </sheetViews>
  <sheetFormatPr defaultRowHeight="15" x14ac:dyDescent="0.25"/>
  <cols>
    <col min="1" max="1" width="38" style="1" bestFit="1" customWidth="1"/>
    <col min="2" max="2" width="14.42578125" style="1" bestFit="1" customWidth="1"/>
    <col min="3" max="3" width="9.140625" style="1"/>
    <col min="4" max="4" width="16.140625" style="1" bestFit="1" customWidth="1"/>
    <col min="5" max="5" width="9.140625" style="1"/>
    <col min="6" max="6" width="14.28515625" style="1" bestFit="1" customWidth="1"/>
    <col min="7" max="7" width="9.140625" style="1"/>
    <col min="8" max="8" width="9.85546875" style="1" bestFit="1" customWidth="1"/>
    <col min="9" max="11" width="9.140625" style="1"/>
    <col min="12" max="12" width="14.85546875" style="1" bestFit="1" customWidth="1"/>
    <col min="13" max="13" width="14.42578125" style="1" bestFit="1" customWidth="1"/>
    <col min="14" max="16384" width="9.140625" style="1"/>
  </cols>
  <sheetData>
    <row r="1" spans="1:13" x14ac:dyDescent="0.25">
      <c r="A1" s="1" t="s">
        <v>204</v>
      </c>
      <c r="B1" s="1" t="s">
        <v>205</v>
      </c>
      <c r="D1" s="1" t="s">
        <v>206</v>
      </c>
      <c r="E1" s="1">
        <v>3.4509180000000002</v>
      </c>
      <c r="I1" s="1" t="s">
        <v>210</v>
      </c>
      <c r="J1" s="60">
        <v>0.4375</v>
      </c>
      <c r="K1" s="61">
        <v>1.5</v>
      </c>
      <c r="L1" s="1" t="s">
        <v>221</v>
      </c>
      <c r="M1" s="1" t="s">
        <v>211</v>
      </c>
    </row>
    <row r="2" spans="1:13" x14ac:dyDescent="0.25">
      <c r="A2" s="1" t="s">
        <v>208</v>
      </c>
      <c r="B2" s="54">
        <v>0.23168</v>
      </c>
      <c r="D2" s="1" t="s">
        <v>207</v>
      </c>
      <c r="E2" s="1">
        <v>4</v>
      </c>
      <c r="I2" s="1" t="s">
        <v>91</v>
      </c>
      <c r="J2" s="1" t="s">
        <v>92</v>
      </c>
    </row>
    <row r="3" spans="1:13" x14ac:dyDescent="0.25">
      <c r="A3" s="1" t="s">
        <v>209</v>
      </c>
      <c r="B3" s="54">
        <v>0.26285999999999998</v>
      </c>
    </row>
    <row r="4" spans="1:13" x14ac:dyDescent="0.25">
      <c r="A4" s="1" t="s">
        <v>212</v>
      </c>
      <c r="B4" s="54">
        <v>0.24</v>
      </c>
      <c r="D4" s="1" t="s">
        <v>213</v>
      </c>
      <c r="E4" s="1" t="s">
        <v>227</v>
      </c>
      <c r="F4" s="1" t="s">
        <v>232</v>
      </c>
    </row>
    <row r="5" spans="1:13" x14ac:dyDescent="0.25">
      <c r="A5" s="1" t="s">
        <v>226</v>
      </c>
      <c r="B5" s="54">
        <v>0.31069999999999998</v>
      </c>
      <c r="D5" s="1" t="s">
        <v>214</v>
      </c>
      <c r="E5" s="1">
        <v>5</v>
      </c>
      <c r="F5" s="1">
        <f>E5+IF(B16&gt;2,(B16-2)*E11,0)+IF(B18=I2,E12,0)</f>
        <v>9</v>
      </c>
      <c r="I5" s="1" t="s">
        <v>222</v>
      </c>
      <c r="K5" s="1" t="s">
        <v>231</v>
      </c>
      <c r="M5" s="1" t="s">
        <v>185</v>
      </c>
    </row>
    <row r="6" spans="1:13" x14ac:dyDescent="0.25">
      <c r="A6" s="1" t="s">
        <v>201</v>
      </c>
      <c r="B6" s="54">
        <v>4</v>
      </c>
      <c r="D6" s="1" t="s">
        <v>215</v>
      </c>
      <c r="E6" s="1">
        <v>5</v>
      </c>
      <c r="F6" s="1">
        <f>E6+IF(B16&gt;2,(B16-2)*E11,0)+IF(B18=I2,E12,0)</f>
        <v>9</v>
      </c>
      <c r="I6" s="1" t="s">
        <v>224</v>
      </c>
      <c r="J6" s="54">
        <f>IF(B14=J1,B2*B15+B6,IF(B14=K1,B3*B15+B6,IF(B14=L1,(B2+B9)*B15+B6,(B3+B9)*B15+B6)))</f>
        <v>6.7801600000000004</v>
      </c>
      <c r="K6" s="1" t="s">
        <v>224</v>
      </c>
      <c r="L6" s="54">
        <f>IF($B$14=$J$1,F5,IF($B$14=$K$1,F7,F9))*B7</f>
        <v>9</v>
      </c>
      <c r="M6" s="54">
        <f>IF(B15&gt;12,B15/12*B8,B8)</f>
        <v>1.03</v>
      </c>
    </row>
    <row r="7" spans="1:13" x14ac:dyDescent="0.25">
      <c r="A7" s="1" t="s">
        <v>202</v>
      </c>
      <c r="B7" s="54">
        <v>1</v>
      </c>
      <c r="D7" s="1" t="s">
        <v>216</v>
      </c>
      <c r="E7" s="1">
        <v>5</v>
      </c>
      <c r="F7" s="1">
        <f>E7+IF(B16&gt;2,(B16-2)*E11,0)+IF(B18=I2,E12,0)</f>
        <v>9</v>
      </c>
      <c r="I7" s="1" t="s">
        <v>225</v>
      </c>
      <c r="J7" s="54">
        <f>IF(B14=J1,B4*B15+B6,IF(B14=K1,B5*B15+B6,IF(B14=L1,(B4+B10+B11)*B15+B6,(B5+B10+B11)*B15+B6)))</f>
        <v>6.88</v>
      </c>
      <c r="K7" s="1" t="s">
        <v>225</v>
      </c>
      <c r="L7" s="54">
        <f>IF($B$14=$J$1,F6,IF($B$14=$K$1,F8,F10))*B7</f>
        <v>9</v>
      </c>
    </row>
    <row r="8" spans="1:13" x14ac:dyDescent="0.25">
      <c r="A8" s="1" t="s">
        <v>203</v>
      </c>
      <c r="B8" s="54">
        <v>1.03</v>
      </c>
      <c r="D8" s="1" t="s">
        <v>217</v>
      </c>
      <c r="E8" s="1">
        <v>5</v>
      </c>
      <c r="F8" s="1">
        <f>E8+IF(B16&gt;2,(B16-2)*E11,0)+IF(B18=I2,E12,0)</f>
        <v>9</v>
      </c>
    </row>
    <row r="9" spans="1:13" x14ac:dyDescent="0.25">
      <c r="A9" s="1" t="s">
        <v>223</v>
      </c>
      <c r="B9" s="54">
        <v>0.34738000000000002</v>
      </c>
      <c r="D9" s="1" t="s">
        <v>218</v>
      </c>
      <c r="E9" s="1">
        <v>10</v>
      </c>
      <c r="F9" s="1">
        <f>IF($B$15&gt;5,$B$15/5*E9,E9)+IF($B$16&gt;2,($B$16-2)*$E$11,0)+IF(B18=I2,E12,0)</f>
        <v>28</v>
      </c>
      <c r="I9" s="1" t="s">
        <v>233</v>
      </c>
    </row>
    <row r="10" spans="1:13" x14ac:dyDescent="0.25">
      <c r="A10" s="1" t="s">
        <v>229</v>
      </c>
      <c r="B10" s="54">
        <v>0.26124999999999998</v>
      </c>
      <c r="D10" s="1" t="s">
        <v>219</v>
      </c>
      <c r="E10" s="1">
        <v>15</v>
      </c>
      <c r="F10" s="1">
        <f>IF($B$15&gt;5,$B$15/5*E10,E10)+IF($B$16&gt;2,($B$16-2)*$E$11,0)+IF(B18=I2,E12,0)</f>
        <v>40</v>
      </c>
      <c r="I10" s="1" t="s">
        <v>224</v>
      </c>
      <c r="J10" s="62">
        <f>J6+L6+M6</f>
        <v>16.81016</v>
      </c>
    </row>
    <row r="11" spans="1:13" x14ac:dyDescent="0.25">
      <c r="A11" s="1" t="s">
        <v>230</v>
      </c>
      <c r="B11" s="54">
        <v>0.16128000000000001</v>
      </c>
      <c r="D11" s="1" t="s">
        <v>228</v>
      </c>
      <c r="E11" s="1">
        <v>1</v>
      </c>
      <c r="I11" s="1" t="s">
        <v>225</v>
      </c>
      <c r="J11" s="62">
        <f>J7+L7+M6</f>
        <v>16.91</v>
      </c>
    </row>
    <row r="12" spans="1:13" x14ac:dyDescent="0.25">
      <c r="D12" s="65" t="s">
        <v>238</v>
      </c>
      <c r="E12" s="1">
        <f>ROUNDUP(IF(B19=B15,B19/6,2+B19/6),0)</f>
        <v>4</v>
      </c>
    </row>
    <row r="13" spans="1:13" x14ac:dyDescent="0.25">
      <c r="A13" s="59" t="s">
        <v>200</v>
      </c>
    </row>
    <row r="14" spans="1:13" x14ac:dyDescent="0.25">
      <c r="A14" s="1" t="s">
        <v>198</v>
      </c>
      <c r="B14" s="63">
        <v>0.4375</v>
      </c>
    </row>
    <row r="15" spans="1:13" x14ac:dyDescent="0.25">
      <c r="A15" s="1" t="s">
        <v>199</v>
      </c>
      <c r="B15" s="38">
        <v>12</v>
      </c>
    </row>
    <row r="16" spans="1:13" x14ac:dyDescent="0.25">
      <c r="A16" s="1" t="s">
        <v>220</v>
      </c>
      <c r="B16" s="38">
        <v>2</v>
      </c>
    </row>
    <row r="17" spans="1:4" x14ac:dyDescent="0.25">
      <c r="A17" s="1" t="s">
        <v>236</v>
      </c>
      <c r="B17" s="64">
        <v>0.435</v>
      </c>
    </row>
    <row r="18" spans="1:4" x14ac:dyDescent="0.25">
      <c r="A18" s="1" t="s">
        <v>238</v>
      </c>
      <c r="B18" s="64" t="s">
        <v>91</v>
      </c>
    </row>
    <row r="19" spans="1:4" x14ac:dyDescent="0.25">
      <c r="A19" s="1" t="s">
        <v>239</v>
      </c>
      <c r="B19" s="66">
        <v>7</v>
      </c>
    </row>
    <row r="21" spans="1:4" x14ac:dyDescent="0.25">
      <c r="B21" s="1" t="s">
        <v>125</v>
      </c>
      <c r="D21" s="1" t="s">
        <v>237</v>
      </c>
    </row>
    <row r="22" spans="1:4" x14ac:dyDescent="0.25">
      <c r="A22" s="1" t="s">
        <v>234</v>
      </c>
      <c r="B22" s="62">
        <f>J10*E2</f>
        <v>67.240639999999999</v>
      </c>
      <c r="D22" s="62">
        <f>B22*(1-$B$17)</f>
        <v>37.990961599999999</v>
      </c>
    </row>
    <row r="23" spans="1:4" x14ac:dyDescent="0.25">
      <c r="A23" s="1" t="s">
        <v>235</v>
      </c>
      <c r="B23" s="62">
        <f>J11*E2</f>
        <v>67.64</v>
      </c>
      <c r="D23" s="62">
        <f>B23*(1-$B$17)</f>
        <v>38.2166</v>
      </c>
    </row>
  </sheetData>
  <sheetProtection algorithmName="SHA-512" hashValue="tIP9yGgOLjtN+97/Y3mXTrfK4KU6xExzdSBzQr++I5BWuyx5WDtc7DXXdnOyb5G3QI8LFdvh+jWKTOt6Bpy9WA==" saltValue="0XgTdev/PutOQ/QzrF6E1A==" spinCount="100000" sheet="1" objects="1" scenarios="1"/>
  <protectedRanges>
    <protectedRange sqref="B14:B19" name="Range1"/>
  </protectedRanges>
  <dataValidations count="6">
    <dataValidation type="list" allowBlank="1" showInputMessage="1" showErrorMessage="1" sqref="B14" xr:uid="{CCEF73E8-026A-4F4F-81E0-033025D20E14}">
      <formula1>$J$1:$M$1</formula1>
    </dataValidation>
    <dataValidation type="whole" operator="greaterThanOrEqual" allowBlank="1" showInputMessage="1" showErrorMessage="1" sqref="B16" xr:uid="{7E475044-7C69-4A80-85BF-C1A2D0F00C56}">
      <formula1>0</formula1>
    </dataValidation>
    <dataValidation type="decimal" operator="greaterThan" allowBlank="1" showInputMessage="1" showErrorMessage="1" sqref="B15" xr:uid="{5764A6E8-B47B-4CCD-B221-12809E94DAEE}">
      <formula1>0</formula1>
    </dataValidation>
    <dataValidation type="decimal" allowBlank="1" showInputMessage="1" showErrorMessage="1" sqref="B17" xr:uid="{C1CDB8AE-0C5E-4D1F-8476-93B158735657}">
      <formula1>0</formula1>
      <formula2>1</formula2>
    </dataValidation>
    <dataValidation type="list" allowBlank="1" showInputMessage="1" showErrorMessage="1" sqref="B18" xr:uid="{52D12680-7153-4FD0-9676-5C40E20A8208}">
      <formula1>$I$2:$J$2</formula1>
    </dataValidation>
    <dataValidation type="decimal" allowBlank="1" showInputMessage="1" showErrorMessage="1" sqref="B19" xr:uid="{6E8312D6-3E1B-4387-B01C-394D546CD508}">
      <formula1>0</formula1>
      <formula2>B15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Surface Mount</vt:lpstr>
      <vt:lpstr>Fascia Mount</vt:lpstr>
      <vt:lpstr>Custom Fascia Base 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Miller</dc:creator>
  <cp:lastModifiedBy>Patrick Miller</cp:lastModifiedBy>
  <cp:lastPrinted>2023-10-13T23:01:22Z</cp:lastPrinted>
  <dcterms:created xsi:type="dcterms:W3CDTF">2015-01-19T18:39:02Z</dcterms:created>
  <dcterms:modified xsi:type="dcterms:W3CDTF">2023-10-13T23:26:31Z</dcterms:modified>
</cp:coreProperties>
</file>