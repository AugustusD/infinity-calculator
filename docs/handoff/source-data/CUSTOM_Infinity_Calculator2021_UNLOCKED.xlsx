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1" autoFilterDateGrouping="1"/>
  </bookViews>
  <sheets>
    <sheet xmlns:r="http://schemas.openxmlformats.org/officeDocument/2006/relationships" name="Surface Mount" sheetId="1" state="visible" r:id="rId1"/>
    <sheet xmlns:r="http://schemas.openxmlformats.org/officeDocument/2006/relationships" name="Fascia Mount" sheetId="2" state="visible" r:id="rId2"/>
    <sheet xmlns:r="http://schemas.openxmlformats.org/officeDocument/2006/relationships" name="Custom Fascia Base Plate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.0%"/>
    <numFmt numFmtId="166" formatCode="_-&quot;$&quot;* #,##0.00_-;\-&quot;$&quot;* #,##0.00_-;_-&quot;$&quot;* &quot;-&quot;??_-;_-@_-"/>
    <numFmt numFmtId="167" formatCode="#\ ??/16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b val="1"/>
      <color theme="1"/>
      <sz val="11"/>
      <u val="single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u val="single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6" fillId="0" borderId="0"/>
    <xf numFmtId="166" fontId="6" fillId="0" borderId="0"/>
    <xf numFmtId="9" fontId="6" fillId="0" borderId="0"/>
  </cellStyleXfs>
  <cellXfs count="13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164" fontId="0" fillId="0" borderId="0" applyAlignment="1" pivotButton="0" quotePrefix="0" xfId="0">
      <alignment horizontal="center" wrapText="1"/>
    </xf>
    <xf numFmtId="164" fontId="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 wrapText="1"/>
    </xf>
    <xf numFmtId="0" fontId="0" fillId="0" borderId="6" applyAlignment="1" pivotButton="0" quotePrefix="0" xfId="0">
      <alignment horizontal="center" wrapText="1"/>
    </xf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9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2" fillId="0" borderId="8" pivotButton="0" quotePrefix="0" xfId="0"/>
    <xf numFmtId="0" fontId="2" fillId="0" borderId="8" applyAlignment="1" pivotButton="0" quotePrefix="0" xfId="0">
      <alignment wrapText="1"/>
    </xf>
    <xf numFmtId="0" fontId="0" fillId="2" borderId="2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2" borderId="0" applyAlignment="1" applyProtection="1" pivotButton="0" quotePrefix="0" xfId="0">
      <alignment horizontal="center"/>
      <protection locked="0" hidden="0"/>
    </xf>
    <xf numFmtId="0" fontId="1" fillId="0" borderId="0" applyAlignment="1" applyProtection="1" pivotButton="0" quotePrefix="0" xfId="0">
      <alignment horizontal="center"/>
      <protection locked="0" hidden="0"/>
    </xf>
    <xf numFmtId="0" fontId="0" fillId="0" borderId="11" applyAlignment="1" pivotButton="0" quotePrefix="0" xfId="0">
      <alignment horizontal="center"/>
    </xf>
    <xf numFmtId="0" fontId="3" fillId="0" borderId="4" pivotButton="0" quotePrefix="0" xfId="0"/>
    <xf numFmtId="0" fontId="0" fillId="0" borderId="8" applyAlignment="1" pivotButton="0" quotePrefix="0" xfId="0">
      <alignment horizontal="center"/>
    </xf>
    <xf numFmtId="0" fontId="4" fillId="0" borderId="0" pivotButton="0" quotePrefix="0" xfId="0"/>
    <xf numFmtId="164" fontId="0" fillId="0" borderId="3" applyAlignment="1" pivotButton="0" quotePrefix="0" xfId="0">
      <alignment horizontal="center"/>
    </xf>
    <xf numFmtId="164" fontId="0" fillId="0" borderId="9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5" fontId="0" fillId="2" borderId="13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2" borderId="0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applyAlignment="1" pivotButton="0" quotePrefix="0" xfId="1">
      <alignment horizontal="center"/>
    </xf>
    <xf numFmtId="0" fontId="0" fillId="2" borderId="8" applyAlignment="1" pivotButton="0" quotePrefix="0" xfId="0">
      <alignment horizontal="center"/>
    </xf>
    <xf numFmtId="0" fontId="1" fillId="2" borderId="3" applyAlignment="1" applyProtection="1" pivotButton="0" quotePrefix="0" xfId="0">
      <alignment horizontal="center"/>
      <protection locked="0" hidden="0"/>
    </xf>
    <xf numFmtId="0" fontId="0" fillId="0" borderId="2" pivotButton="0" quotePrefix="0" xfId="0"/>
    <xf numFmtId="0" fontId="2" fillId="0" borderId="0" pivotButton="0" quotePrefix="0" xfId="0"/>
    <xf numFmtId="2" fontId="0" fillId="0" borderId="0" applyAlignment="1" pivotButton="0" quotePrefix="0" xfId="1">
      <alignment horizontal="center"/>
    </xf>
    <xf numFmtId="0" fontId="0" fillId="0" borderId="0" applyAlignment="1" pivotButton="0" quotePrefix="0" xfId="1">
      <alignment horizontal="center"/>
    </xf>
    <xf numFmtId="0" fontId="3" fillId="0" borderId="2" pivotButton="0" quotePrefix="0" xfId="0"/>
    <xf numFmtId="0" fontId="3" fillId="0" borderId="9" pivotButton="0" quotePrefix="0" xfId="0"/>
    <xf numFmtId="166" fontId="0" fillId="0" borderId="0" pivotButton="0" quotePrefix="0" xfId="1"/>
    <xf numFmtId="166" fontId="0" fillId="0" borderId="0" applyAlignment="1" pivotButton="0" quotePrefix="0" xfId="1">
      <alignment horizontal="center"/>
    </xf>
    <xf numFmtId="12" fontId="0" fillId="0" borderId="0" pivotButton="0" quotePrefix="0" xfId="0"/>
    <xf numFmtId="164" fontId="0" fillId="3" borderId="0" applyAlignment="1" pivotButton="0" quotePrefix="0" xfId="0">
      <alignment horizontal="center"/>
    </xf>
    <xf numFmtId="164" fontId="0" fillId="3" borderId="0" applyAlignment="1" pivotButton="0" quotePrefix="0" xfId="0">
      <alignment horizontal="center" wrapText="1"/>
    </xf>
    <xf numFmtId="2" fontId="0" fillId="0" borderId="0" pivotButton="0" quotePrefix="0" xfId="0"/>
    <xf numFmtId="0" fontId="3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12" fontId="0" fillId="0" borderId="0" applyAlignment="1" pivotButton="0" quotePrefix="0" xfId="0">
      <alignment horizontal="center"/>
    </xf>
    <xf numFmtId="168" fontId="0" fillId="0" borderId="0" applyAlignment="1" pivotButton="0" quotePrefix="0" xfId="0">
      <alignment horizontal="center"/>
    </xf>
    <xf numFmtId="2" fontId="0" fillId="2" borderId="0" applyAlignment="1" pivotButton="0" quotePrefix="0" xfId="0">
      <alignment horizontal="center"/>
    </xf>
    <xf numFmtId="165" fontId="0" fillId="2" borderId="0" applyAlignment="1" pivotButton="0" quotePrefix="0" xfId="2">
      <alignment horizontal="center"/>
    </xf>
    <xf numFmtId="0" fontId="0" fillId="0" borderId="0" applyAlignment="1" pivotButton="0" quotePrefix="0" xfId="0">
      <alignment horizontal="right"/>
    </xf>
    <xf numFmtId="2" fontId="0" fillId="2" borderId="0" applyAlignment="1" pivotButton="0" quotePrefix="0" xfId="2">
      <alignment horizontal="center"/>
    </xf>
    <xf numFmtId="0" fontId="3" fillId="0" borderId="6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3" fillId="0" borderId="8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2" fillId="0" borderId="6" applyAlignment="1" pivotButton="0" quotePrefix="0" xfId="0">
      <alignment horizontal="center" wrapText="1"/>
    </xf>
    <xf numFmtId="0" fontId="2" fillId="0" borderId="4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 wrapText="1"/>
    </xf>
    <xf numFmtId="0" fontId="1" fillId="0" borderId="7" applyAlignment="1" pivotButton="0" quotePrefix="0" xfId="0">
      <alignment horizontal="center" wrapText="1"/>
    </xf>
    <xf numFmtId="0" fontId="0" fillId="0" borderId="1" applyAlignment="1" pivotButton="0" quotePrefix="0" xfId="0">
      <alignment horizontal="center" wrapText="1"/>
    </xf>
    <xf numFmtId="0" fontId="0" fillId="0" borderId="7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2" fillId="0" borderId="6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4" fillId="0" borderId="5" applyAlignment="1" pivotButton="0" quotePrefix="0" xfId="0">
      <alignment horizontal="center"/>
    </xf>
    <xf numFmtId="0" fontId="4" fillId="0" borderId="12" applyAlignment="1" pivotButton="0" quotePrefix="0" xfId="0">
      <alignment horizontal="center"/>
    </xf>
    <xf numFmtId="0" fontId="4" fillId="0" borderId="13" applyAlignment="1" pivotButton="0" quotePrefix="0" xfId="0">
      <alignment horizontal="center"/>
    </xf>
    <xf numFmtId="0" fontId="0" fillId="0" borderId="4" applyAlignment="1" pivotButton="0" quotePrefix="0" xfId="0">
      <alignment horizontal="center" wrapText="1"/>
    </xf>
    <xf numFmtId="0" fontId="0" fillId="2" borderId="10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164" fontId="0" fillId="0" borderId="4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/>
    </xf>
    <xf numFmtId="0" fontId="0" fillId="2" borderId="12" applyAlignment="1" pivotButton="0" quotePrefix="0" xfId="0">
      <alignment horizontal="center"/>
    </xf>
    <xf numFmtId="0" fontId="0" fillId="2" borderId="13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164" fontId="0" fillId="0" borderId="8" applyAlignment="1" pivotButton="0" quotePrefix="0" xfId="0">
      <alignment horizontal="center"/>
    </xf>
    <xf numFmtId="0" fontId="0" fillId="0" borderId="7" applyAlignment="1" pivotButton="0" quotePrefix="0" xfId="0">
      <alignment horizontal="center" wrapText="1"/>
    </xf>
    <xf numFmtId="164" fontId="0" fillId="3" borderId="0" applyAlignment="1" pivotButton="0" quotePrefix="0" xfId="0">
      <alignment horizontal="center" wrapText="1"/>
    </xf>
    <xf numFmtId="164" fontId="0" fillId="0" borderId="0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3" pivotButton="0" quotePrefix="0" xfId="0"/>
    <xf numFmtId="0" fontId="4" fillId="0" borderId="10" applyAlignment="1" pivotButton="0" quotePrefix="0" xfId="0">
      <alignment horizontal="center"/>
    </xf>
    <xf numFmtId="0" fontId="0" fillId="0" borderId="12" pivotButton="0" quotePrefix="0" xfId="0"/>
    <xf numFmtId="0" fontId="0" fillId="0" borderId="13" pivotButton="0" quotePrefix="0" xfId="0"/>
    <xf numFmtId="0" fontId="0" fillId="0" borderId="8" pivotButton="0" quotePrefix="0" xfId="0"/>
    <xf numFmtId="165" fontId="0" fillId="2" borderId="13" applyAlignment="1" pivotButton="0" quotePrefix="0" xfId="0">
      <alignment horizontal="center"/>
    </xf>
    <xf numFmtId="0" fontId="3" fillId="0" borderId="11" applyAlignment="1" pivotButton="0" quotePrefix="0" xfId="0">
      <alignment horizontal="center"/>
    </xf>
    <xf numFmtId="166" fontId="0" fillId="0" borderId="0" applyAlignment="1" pivotButton="0" quotePrefix="0" xfId="1">
      <alignment horizontal="center"/>
    </xf>
    <xf numFmtId="0" fontId="0" fillId="0" borderId="1" pivotButton="0" quotePrefix="0" xfId="0"/>
    <xf numFmtId="164" fontId="0" fillId="0" borderId="3" applyAlignment="1" pivotButton="0" quotePrefix="0" xfId="0">
      <alignment horizontal="center"/>
    </xf>
    <xf numFmtId="164" fontId="0" fillId="0" borderId="9" applyAlignment="1" pivotButton="0" quotePrefix="0" xfId="0">
      <alignment horizontal="center"/>
    </xf>
    <xf numFmtId="0" fontId="0" fillId="0" borderId="7" pivotButton="0" quotePrefix="0" xfId="0"/>
    <xf numFmtId="164" fontId="0" fillId="0" borderId="4" applyAlignment="1" pivotButton="0" quotePrefix="0" xfId="0">
      <alignment horizontal="center"/>
    </xf>
    <xf numFmtId="164" fontId="0" fillId="0" borderId="0" pivotButton="0" quotePrefix="0" xfId="0"/>
    <xf numFmtId="164" fontId="0" fillId="3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/>
    </xf>
    <xf numFmtId="166" fontId="0" fillId="0" borderId="0" pivotButton="0" quotePrefix="0" xfId="1"/>
    <xf numFmtId="164" fontId="0" fillId="0" borderId="8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168" fontId="0" fillId="0" borderId="0" applyAlignment="1" pivotButton="0" quotePrefix="0" xfId="0">
      <alignment horizontal="center"/>
    </xf>
    <xf numFmtId="165" fontId="0" fillId="2" borderId="0" applyAlignment="1" pivotButton="0" quotePrefix="0" xfId="2">
      <alignment horizontal="center"/>
    </xf>
  </cellXfs>
  <cellStyles count="3">
    <cellStyle name="Normal" xfId="0" builtinId="0"/>
    <cellStyle name="Currency" xfId="1" builtinId="4"/>
    <cellStyle name="Percent" xfId="2" builtinId="5"/>
  </cellStyles>
  <dxfs count="5">
    <dxf>
      <font>
        <b val="1"/>
      </font>
      <fill>
        <patternFill>
          <bgColor rgb="FFFF0000"/>
        </patternFill>
      </fill>
    </dxf>
    <dxf>
      <font>
        <b val="1"/>
        <color auto="1"/>
      </font>
      <fill>
        <patternFill>
          <bgColor rgb="FFFF000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"/>
  <sheetViews>
    <sheetView showRuler="0" showWhiteSpace="0" topLeftCell="A34" zoomScaleNormal="100" workbookViewId="0">
      <selection activeCell="D52" sqref="D52"/>
    </sheetView>
  </sheetViews>
  <sheetFormatPr baseColWidth="8" defaultColWidth="6.42578125" defaultRowHeight="15"/>
  <cols>
    <col width="27.7109375" customWidth="1" style="75" min="1" max="1"/>
    <col width="8.7109375" customWidth="1" style="75" min="2" max="3"/>
    <col width="15.7109375" customWidth="1" style="75" min="4" max="4"/>
    <col width="34.7109375" customWidth="1" style="75" min="5" max="5"/>
    <col width="8.7109375" customWidth="1" style="75" min="6" max="6"/>
    <col hidden="1" width="8.7109375" customWidth="1" style="75" min="7" max="7"/>
    <col width="8.7109375" customWidth="1" style="75" min="8" max="8"/>
    <col width="15.7109375" customWidth="1" style="75" min="9" max="9"/>
    <col width="2.140625" customWidth="1" style="75" min="10" max="10"/>
    <col hidden="1" width="9.140625" customWidth="1" style="75" min="11" max="13"/>
    <col width="9.140625" customWidth="1" style="75" min="14" max="19"/>
    <col width="1.7109375" customWidth="1" style="75" min="20" max="20"/>
    <col width="6.42578125" customWidth="1" style="75" min="21" max="21"/>
    <col width="6.42578125" customWidth="1" style="75" min="22" max="16384"/>
  </cols>
  <sheetData>
    <row r="1" hidden="1">
      <c r="A1" s="75" t="inlineStr">
        <is>
          <t>List Price Calculations - Surface</t>
        </is>
      </c>
    </row>
    <row r="2" hidden="1" ht="105" customFormat="1" customHeight="1" s="81">
      <c r="A2" s="10" t="n"/>
      <c r="B2" s="87" t="inlineStr">
        <is>
          <t>Painted Infinity</t>
        </is>
      </c>
      <c r="C2" s="87" t="inlineStr">
        <is>
          <t>2 1/2" Infinity</t>
        </is>
      </c>
      <c r="D2" s="87" t="n"/>
      <c r="E2" s="87" t="inlineStr">
        <is>
          <t>Wall Track</t>
        </is>
      </c>
      <c r="F2" s="87" t="n"/>
      <c r="G2" s="87" t="n"/>
      <c r="H2" s="87" t="inlineStr">
        <is>
          <t>Post Height</t>
        </is>
      </c>
      <c r="I2" s="87" t="inlineStr">
        <is>
          <t>Calc "A"</t>
        </is>
      </c>
      <c r="J2" s="87" t="inlineStr">
        <is>
          <t>Calc "B"</t>
        </is>
      </c>
      <c r="K2" s="87" t="n"/>
      <c r="L2" s="12" t="inlineStr">
        <is>
          <t>MAX</t>
        </is>
      </c>
      <c r="N2" s="81" t="n">
        <v>13</v>
      </c>
      <c r="O2" s="81" t="n">
        <v>12</v>
      </c>
    </row>
    <row r="3" hidden="1" ht="30" customFormat="1" customHeight="1" s="81">
      <c r="A3" s="78" t="inlineStr">
        <is>
          <t>24" Tall Infinity Posts</t>
        </is>
      </c>
      <c r="B3" s="111" t="n">
        <v>187.4231</v>
      </c>
      <c r="D3" s="111" t="n">
        <v>1.0565</v>
      </c>
      <c r="G3" s="81" t="inlineStr">
        <is>
          <t>Infinity Post</t>
        </is>
      </c>
      <c r="H3" s="81">
        <f>D38-D39</f>
        <v/>
      </c>
      <c r="I3" s="112">
        <f>($H$3-34)*B12+B4</f>
        <v/>
      </c>
      <c r="J3" s="112">
        <f>($H$3-34)*B9+B4</f>
        <v/>
      </c>
      <c r="K3" s="112" t="n"/>
      <c r="L3" s="113">
        <f>MAX(I3,J3)</f>
        <v/>
      </c>
      <c r="P3" s="75" t="inlineStr">
        <is>
          <t>Custom</t>
        </is>
      </c>
      <c r="S3" s="37" t="inlineStr">
        <is>
          <t>More Add Ons Than Items To Be Added To</t>
        </is>
      </c>
    </row>
    <row r="4" hidden="1">
      <c r="A4" s="78" t="inlineStr">
        <is>
          <t>34" Tall Infinity Posts</t>
        </is>
      </c>
      <c r="B4" s="111" t="n">
        <v>199.65737</v>
      </c>
      <c r="C4" s="111" t="n">
        <v>134.02759</v>
      </c>
      <c r="E4" s="111" t="n">
        <v>55.624725</v>
      </c>
      <c r="G4" s="75" t="inlineStr">
        <is>
          <t>2 1/2" Post</t>
        </is>
      </c>
      <c r="H4" s="75">
        <f>D38+1</f>
        <v/>
      </c>
      <c r="I4" s="114">
        <f>(H4-37)*C12+C4</f>
        <v/>
      </c>
      <c r="J4" s="114">
        <f>(H4-37)*D9+C4</f>
        <v/>
      </c>
      <c r="K4" s="114" t="n"/>
      <c r="L4" s="113">
        <f>MAX(I4,J4)</f>
        <v/>
      </c>
      <c r="P4" s="75" t="inlineStr">
        <is>
          <t>Innovative Series Beige</t>
        </is>
      </c>
      <c r="S4" s="37" t="inlineStr">
        <is>
          <t>Glass Thickness Needs To Be Changed</t>
        </is>
      </c>
    </row>
    <row r="5" hidden="1">
      <c r="A5" s="78" t="inlineStr">
        <is>
          <t>40" Tall Infinity Posts</t>
        </is>
      </c>
      <c r="B5" s="111" t="n">
        <v>212.94814</v>
      </c>
      <c r="C5" s="111" t="n">
        <v>152.780465</v>
      </c>
      <c r="E5" s="111" t="n">
        <v>58.55123</v>
      </c>
      <c r="G5" s="75" t="inlineStr">
        <is>
          <t>Wall Track</t>
        </is>
      </c>
      <c r="H5" s="81">
        <f>D38-2</f>
        <v/>
      </c>
      <c r="I5" s="112">
        <f>($H$5-34)*E12+E4</f>
        <v/>
      </c>
      <c r="J5" s="114">
        <f>(H5-40)*(F9+E12)+E5</f>
        <v/>
      </c>
      <c r="K5" s="114" t="n"/>
      <c r="L5" s="113">
        <f>MAX(I5,J5)</f>
        <v/>
      </c>
      <c r="P5" s="75" t="inlineStr">
        <is>
          <t>Innovative Series Black</t>
        </is>
      </c>
      <c r="S5" s="37" t="inlineStr">
        <is>
          <t>Warning, Large Bottom Gap, Ensure No Code Violations</t>
        </is>
      </c>
      <c r="U5" s="29" t="n"/>
    </row>
    <row r="6" hidden="1">
      <c r="A6" s="74" t="n"/>
      <c r="B6" s="114" t="n"/>
      <c r="C6" s="81" t="inlineStr">
        <is>
          <t xml:space="preserve"> Material Cost</t>
        </is>
      </c>
      <c r="E6" s="81" t="inlineStr">
        <is>
          <t>Paint Cost Inch</t>
        </is>
      </c>
      <c r="L6" s="5" t="n"/>
      <c r="P6" s="75" t="inlineStr">
        <is>
          <t>Innovative Series Coastal Grey</t>
        </is>
      </c>
      <c r="S6" s="37" t="inlineStr">
        <is>
          <t>Warning, More Base Plate Covers Than 4"X4" Base Plates</t>
        </is>
      </c>
    </row>
    <row r="7" hidden="1">
      <c r="D7" s="75">
        <f>0.09+0.17</f>
        <v/>
      </c>
      <c r="F7" s="75">
        <f>(2.3/40)*1.15</f>
        <v/>
      </c>
      <c r="L7" s="5" t="n"/>
      <c r="P7" s="75" t="inlineStr">
        <is>
          <t>Innovative Series Hartford Green</t>
        </is>
      </c>
      <c r="U7" s="111">
        <f>(67.23*1.06)*1.0565</f>
        <v/>
      </c>
    </row>
    <row r="8" hidden="1">
      <c r="A8" s="74" t="inlineStr">
        <is>
          <t>10" Diff</t>
        </is>
      </c>
      <c r="B8" s="114">
        <f>B4-B3</f>
        <v/>
      </c>
      <c r="C8" s="75" t="inlineStr">
        <is>
          <t>Mark Up</t>
        </is>
      </c>
      <c r="D8" s="75">
        <f>119.68/24.74</f>
        <v/>
      </c>
      <c r="E8" s="75" t="inlineStr">
        <is>
          <t>Mark Up</t>
        </is>
      </c>
      <c r="F8" s="75">
        <f>49.67/11.03</f>
        <v/>
      </c>
      <c r="I8" s="111">
        <f>(22.01*1.06)*1.0565</f>
        <v/>
      </c>
      <c r="L8" s="5" t="n"/>
      <c r="P8" s="75" t="inlineStr">
        <is>
          <t>Innovative Series Light Ivory</t>
        </is>
      </c>
      <c r="U8" s="111">
        <f>(54.7*1.06)*1.0565</f>
        <v/>
      </c>
    </row>
    <row r="9" hidden="1">
      <c r="A9" s="74" t="inlineStr">
        <is>
          <t>Per Inch</t>
        </is>
      </c>
      <c r="B9" s="114">
        <f>B8/10</f>
        <v/>
      </c>
      <c r="C9" s="75" t="inlineStr">
        <is>
          <t>Per Inch</t>
        </is>
      </c>
      <c r="D9" s="75">
        <f>D7*D8</f>
        <v/>
      </c>
      <c r="E9" s="75" t="inlineStr">
        <is>
          <t>Per Inch</t>
        </is>
      </c>
      <c r="F9" s="75">
        <f>F7*F8</f>
        <v/>
      </c>
      <c r="L9" s="5" t="n"/>
      <c r="P9" s="75" t="inlineStr">
        <is>
          <t>Innovative Series Oyster Grey</t>
        </is>
      </c>
      <c r="U9" s="114" t="n"/>
    </row>
    <row r="10" hidden="1">
      <c r="A10" s="74" t="n"/>
      <c r="B10" s="114" t="n"/>
      <c r="L10" s="5" t="n"/>
      <c r="P10" s="75" t="inlineStr">
        <is>
          <t>Innovative Series Phantom Bronze</t>
        </is>
      </c>
    </row>
    <row r="11" hidden="1">
      <c r="A11" s="74" t="inlineStr">
        <is>
          <t>6" Diff</t>
        </is>
      </c>
      <c r="B11" s="114">
        <f>B5-B4</f>
        <v/>
      </c>
      <c r="C11" s="114">
        <f>C5-C4</f>
        <v/>
      </c>
      <c r="D11" s="114" t="n"/>
      <c r="E11" s="114">
        <f>E5-E4</f>
        <v/>
      </c>
      <c r="L11" s="5" t="n"/>
      <c r="P11" s="75" t="inlineStr">
        <is>
          <t>Innovative Series Rideau Brown</t>
        </is>
      </c>
      <c r="U11" s="111">
        <f>(17.21*1.06)*1.0565</f>
        <v/>
      </c>
    </row>
    <row r="12" hidden="1">
      <c r="A12" s="79" t="inlineStr">
        <is>
          <t>Per Inch</t>
        </is>
      </c>
      <c r="B12" s="80">
        <f>B11/6</f>
        <v/>
      </c>
      <c r="C12" s="80">
        <f>C11/6</f>
        <v/>
      </c>
      <c r="D12" s="80" t="n"/>
      <c r="E12" s="80">
        <f>E11/6</f>
        <v/>
      </c>
      <c r="F12" s="80" t="n"/>
      <c r="G12" s="80" t="n"/>
      <c r="H12" s="80" t="n"/>
      <c r="I12" s="80" t="n"/>
      <c r="J12" s="80" t="n"/>
      <c r="K12" s="80" t="n"/>
      <c r="L12" s="14" t="n"/>
      <c r="P12" s="75" t="inlineStr">
        <is>
          <t>Innovative Series Sandalwood</t>
        </is>
      </c>
    </row>
    <row r="13" hidden="1">
      <c r="H13" s="87" t="inlineStr">
        <is>
          <t>Cuts Per length</t>
        </is>
      </c>
      <c r="I13" s="115" t="n"/>
      <c r="K13" s="97" t="inlineStr">
        <is>
          <t># of Lengths</t>
        </is>
      </c>
      <c r="L13" s="115" t="n"/>
      <c r="P13" s="75" t="inlineStr">
        <is>
          <t>Innovative Series Silver Matte</t>
        </is>
      </c>
    </row>
    <row r="14" hidden="1">
      <c r="B14" s="75" t="inlineStr">
        <is>
          <t>List</t>
        </is>
      </c>
      <c r="E14" s="75" t="inlineStr">
        <is>
          <t>Vinyl Cut Size</t>
        </is>
      </c>
      <c r="G14" s="75" t="inlineStr">
        <is>
          <t># of Pieces</t>
        </is>
      </c>
      <c r="H14" s="75" t="inlineStr">
        <is>
          <t>10mm</t>
        </is>
      </c>
      <c r="I14" s="75" t="inlineStr">
        <is>
          <t>12mm</t>
        </is>
      </c>
      <c r="K14" s="75" t="inlineStr">
        <is>
          <t>10mm</t>
        </is>
      </c>
      <c r="L14" s="75" t="inlineStr">
        <is>
          <t>12mm</t>
        </is>
      </c>
      <c r="P14" s="75" t="inlineStr">
        <is>
          <t>Innovative Series Textured Black</t>
        </is>
      </c>
      <c r="U14" s="111">
        <f>(14.27*1.06)*1.0565</f>
        <v/>
      </c>
    </row>
    <row r="15" hidden="1">
      <c r="A15" s="75" t="inlineStr">
        <is>
          <t>Gasket 13mm (10 Ft Lengths)</t>
        </is>
      </c>
      <c r="B15" s="111" t="n">
        <v>18.91135</v>
      </c>
      <c r="E15" s="75" t="inlineStr">
        <is>
          <t>Post Glass Panel</t>
        </is>
      </c>
      <c r="F15" s="75">
        <f>$D$38-$D$39-$D$40-3</f>
        <v/>
      </c>
      <c r="G15" s="75">
        <f>$D$43*2+$D$44+$D$45*2+$D$46*2</f>
        <v/>
      </c>
      <c r="H15" s="75">
        <f>ROUNDDOWN(G27/($F15+0.125),0)</f>
        <v/>
      </c>
      <c r="I15" s="75">
        <f>ROUNDDOWN($G$26/($F15+0.125),0)</f>
        <v/>
      </c>
      <c r="K15" s="75">
        <f>$G15/H15</f>
        <v/>
      </c>
      <c r="L15" s="75">
        <f>$G15/I15</f>
        <v/>
      </c>
      <c r="P15" s="75" t="inlineStr">
        <is>
          <t>Innovative Series White</t>
        </is>
      </c>
    </row>
    <row r="16" hidden="1">
      <c r="A16" s="75" t="inlineStr">
        <is>
          <t>Gasket 12mm (12 Ft Lengths)</t>
        </is>
      </c>
      <c r="B16" s="111" t="n">
        <v>22.69362</v>
      </c>
      <c r="E16" s="75" t="inlineStr">
        <is>
          <t>End Post</t>
        </is>
      </c>
      <c r="F16" s="75">
        <f>$D$38-$D$39-3/4</f>
        <v/>
      </c>
      <c r="G16" s="75">
        <f>$D$44-B55</f>
        <v/>
      </c>
      <c r="H16" s="75">
        <f>ROUNDDOWN(G27/($F16+0.125),0)</f>
        <v/>
      </c>
      <c r="I16" s="75">
        <f>ROUNDDOWN(G26/($F16+0.125),0)</f>
        <v/>
      </c>
      <c r="K16" s="75">
        <f>$G16/H16</f>
        <v/>
      </c>
      <c r="L16" s="75">
        <f>$G16/I16</f>
        <v/>
      </c>
      <c r="U16" s="111">
        <f>(44.23*1.06)*1.0565</f>
        <v/>
      </c>
    </row>
    <row r="17" hidden="1" ht="15.75" customHeight="1">
      <c r="A17" s="75" t="inlineStr">
        <is>
          <t>Setting Block (10 Ft Length)</t>
        </is>
      </c>
      <c r="B17" s="111" t="n">
        <v>54.230145</v>
      </c>
      <c r="E17" s="75" t="inlineStr">
        <is>
          <t>10mm Glass panel Insert</t>
        </is>
      </c>
      <c r="F17" s="75">
        <f>$D$38-$D$39-$D$40-3</f>
        <v/>
      </c>
      <c r="K17" s="75">
        <f>G19/H19</f>
        <v/>
      </c>
      <c r="L17" s="75">
        <f>G19/I19</f>
        <v/>
      </c>
      <c r="U17" s="31" t="n"/>
    </row>
    <row r="18" hidden="1">
      <c r="A18" s="75" t="inlineStr">
        <is>
          <t>Setting Block (Per Ft)</t>
        </is>
      </c>
      <c r="B18" s="111" t="n">
        <v>8.578779999999998</v>
      </c>
      <c r="E18" s="75" t="inlineStr">
        <is>
          <t>Wall Track Panel 10mm</t>
        </is>
      </c>
      <c r="F18" s="75">
        <f>$H$5-$D$40-3</f>
        <v/>
      </c>
      <c r="O18" s="75" t="inlineStr">
        <is>
          <t>Yes</t>
        </is>
      </c>
      <c r="P18" s="75" t="inlineStr">
        <is>
          <t>No</t>
        </is>
      </c>
    </row>
    <row r="19" hidden="1">
      <c r="A19" s="75" t="inlineStr">
        <is>
          <t>Setting Block (1 1/2" Pieces)</t>
        </is>
      </c>
      <c r="B19" s="111" t="n">
        <v>2.419385</v>
      </c>
      <c r="E19" s="75" t="inlineStr">
        <is>
          <t>Wall Track Panel 12mm</t>
        </is>
      </c>
      <c r="F19" s="75">
        <f>$H$5-$D$40-3</f>
        <v/>
      </c>
      <c r="G19" s="75">
        <f>$D$47+$D$48+$D$49</f>
        <v/>
      </c>
      <c r="H19" s="75">
        <f>ROUNDDOWN(G27/($F19+0.125),0)</f>
        <v/>
      </c>
      <c r="I19" s="75">
        <f>ROUNDDOWN(G26/($F19+0.125),0)</f>
        <v/>
      </c>
      <c r="J19" s="75" t="inlineStr">
        <is>
          <t>Total</t>
        </is>
      </c>
      <c r="K19" s="75">
        <f>IF($D$52=$O$18,ROUNDUP((K15+K16+K17)/ROUNDDOWN(120/G27,0),0),ROUNDUP(K15+K16+K17,0))</f>
        <v/>
      </c>
      <c r="L19" s="75">
        <f>IF($D$52=$O$18,ROUNDUP((L15+L16+L17)/ROUNDDOWN(144/G26,0),0),ROUNDUP(L15+L16+L17,0))</f>
        <v/>
      </c>
    </row>
    <row r="20" hidden="1">
      <c r="A20" s="75" t="inlineStr">
        <is>
          <t>Glass Wedge 10mm (4" Piece)</t>
        </is>
      </c>
      <c r="B20" s="111" t="n">
        <v>3.57097</v>
      </c>
      <c r="E20" s="75" t="inlineStr">
        <is>
          <t>Setting Blocks Infinity</t>
        </is>
      </c>
      <c r="F20" s="75">
        <f>$D$40-0.5</f>
        <v/>
      </c>
      <c r="G20" s="75">
        <f>$D$43*2+$D$44+$D$45*2+$D$46*2+$D$47+$B$60</f>
        <v/>
      </c>
      <c r="I20" s="75">
        <f>ROUNDDOWN(120/($F20+0.125),0)</f>
        <v/>
      </c>
      <c r="K20" s="75">
        <f>IF(F20=1.5,0,(G20*(F20+0.125))/12)</f>
        <v/>
      </c>
      <c r="M20" s="75">
        <f>ROUNDUP(K20+K21,0)</f>
        <v/>
      </c>
    </row>
    <row r="21" hidden="1">
      <c r="A21" s="75" t="inlineStr">
        <is>
          <t>Glass Wedge 12mm (3" Piece)</t>
        </is>
      </c>
      <c r="B21" s="111" t="n">
        <v>3.074415</v>
      </c>
      <c r="E21" s="75" t="inlineStr">
        <is>
          <t>Setting Blocks Infinity (1/4" Base)</t>
        </is>
      </c>
      <c r="F21" s="75">
        <f>$D$40-0.25</f>
        <v/>
      </c>
      <c r="G21" s="75">
        <f>D49+D48-B60</f>
        <v/>
      </c>
      <c r="I21" s="75">
        <f>ROUNDDOWN(120/($F21+0.125),0)</f>
        <v/>
      </c>
      <c r="K21" s="75">
        <f>IF(F21=1.5,0,(G21*(F21+0.125))/12)</f>
        <v/>
      </c>
      <c r="M21" s="75">
        <f>IF(D52=O18,0,ROUNDDOWN(M20/10,0))</f>
        <v/>
      </c>
      <c r="U21" s="80" t="n"/>
    </row>
    <row r="22" hidden="1">
      <c r="A22" s="75" t="inlineStr">
        <is>
          <t>End Caps</t>
        </is>
      </c>
      <c r="B22" s="111" t="n">
        <v>15.27699</v>
      </c>
      <c r="E22" s="75" t="inlineStr">
        <is>
          <t>Glass Wedge</t>
        </is>
      </c>
      <c r="G22" s="75">
        <f>G20+G21</f>
        <v/>
      </c>
      <c r="M22" s="75">
        <f>M20-M21*10</f>
        <v/>
      </c>
    </row>
    <row r="23" hidden="1">
      <c r="A23" s="75" t="inlineStr">
        <is>
          <t>2 1/2" Post Caps</t>
        </is>
      </c>
      <c r="B23" s="111" t="n">
        <v>13.533765</v>
      </c>
      <c r="I23" s="75">
        <f>MIN(I21,I20)</f>
        <v/>
      </c>
    </row>
    <row r="24" hidden="1">
      <c r="A24" s="75" t="inlineStr">
        <is>
          <t>Base Plate Gaskets</t>
        </is>
      </c>
      <c r="B24" s="111" t="n">
        <v>3.454755</v>
      </c>
      <c r="E24" s="75" t="inlineStr">
        <is>
          <t>Total 1 1/2" Setting Blocks</t>
        </is>
      </c>
      <c r="F24" s="75">
        <f>IF(F20=1.5, G20,0)</f>
        <v/>
      </c>
      <c r="G24" s="75">
        <f>IF(F21=1.5, G21,0)</f>
        <v/>
      </c>
    </row>
    <row r="25" hidden="1">
      <c r="A25" s="75" t="inlineStr">
        <is>
          <t>Mid Base Plate cover</t>
        </is>
      </c>
      <c r="B25" s="111" t="n">
        <v>20.36932</v>
      </c>
    </row>
    <row r="26" hidden="1">
      <c r="A26" s="75" t="inlineStr">
        <is>
          <t>Outside Base Plate cover</t>
        </is>
      </c>
      <c r="B26" s="111" t="n">
        <v>21.57373</v>
      </c>
      <c r="F26" s="75">
        <f>MAX(F15:F19)</f>
        <v/>
      </c>
      <c r="G26" s="75">
        <f>IF($D$52=$O$18,IF(F26&gt;48,72,48),144)</f>
        <v/>
      </c>
    </row>
    <row r="27" hidden="1">
      <c r="A27" s="75" t="inlineStr">
        <is>
          <t>Inside Base Plate Cover</t>
        </is>
      </c>
      <c r="B27" s="111" t="n">
        <v>21.57373</v>
      </c>
      <c r="G27" s="75">
        <f>IF($D$52=$O$18,IF(F26&gt;60,72,IF(F26&gt;40,60,40)),120)</f>
        <v/>
      </c>
    </row>
    <row r="28" hidden="1">
      <c r="A28" s="75" t="inlineStr">
        <is>
          <t>Drink Holders</t>
        </is>
      </c>
      <c r="B28" s="111" t="n">
        <v>39.925135</v>
      </c>
      <c r="F28" s="75" t="inlineStr">
        <is>
          <t>Paint Cost</t>
        </is>
      </c>
    </row>
    <row r="29" hidden="1">
      <c r="A29" s="75" t="inlineStr">
        <is>
          <t>Infinity Glass Shelf Kit</t>
        </is>
      </c>
      <c r="B29" s="111" t="n">
        <v>211.27887</v>
      </c>
      <c r="E29" s="75" t="inlineStr">
        <is>
          <t>Post</t>
        </is>
      </c>
      <c r="F29" s="75">
        <f>IF(H3&lt;34,8.25,IF(H3&lt;40,8.25+(H3-34)*(10.04-8.25)/6,IF(H3=40,10.04,10.04+(H3-40)*(11.97-10.04)/8)))</f>
        <v/>
      </c>
    </row>
    <row r="30" hidden="1">
      <c r="A30" s="75" t="inlineStr">
        <is>
          <t>Gasket 13mm (10 Ft Lengths) Cut</t>
        </is>
      </c>
      <c r="B30" s="111" t="n">
        <v>25.282045</v>
      </c>
      <c r="E30" s="75" t="inlineStr">
        <is>
          <t>Track</t>
        </is>
      </c>
      <c r="F30" s="75">
        <f>IF(F44&lt;40,3.17,3.17+(F44-40)*(3.17/40))</f>
        <v/>
      </c>
    </row>
    <row r="31" hidden="1">
      <c r="A31" s="75" t="inlineStr">
        <is>
          <t>Gasket 12mm (12 Ft Lengths) Cut</t>
        </is>
      </c>
      <c r="B31" s="111" t="n">
        <v>29.07488</v>
      </c>
    </row>
    <row r="32" hidden="1">
      <c r="B32" s="75" t="n">
        <v>26</v>
      </c>
      <c r="C32" s="75" t="n">
        <v>72</v>
      </c>
    </row>
    <row r="33" hidden="1"/>
    <row r="34">
      <c r="A34" s="89" t="inlineStr">
        <is>
          <t>SURFACE MOUNT INFINITY CALCULATOR - Added 5.65% Increase Feb 15th 2021</t>
        </is>
      </c>
      <c r="B34" s="116" t="n"/>
      <c r="C34" s="116" t="n"/>
      <c r="D34" s="116" t="n"/>
      <c r="E34" s="116" t="n"/>
      <c r="F34" s="116" t="n"/>
      <c r="G34" s="116" t="n"/>
      <c r="H34" s="116" t="n"/>
      <c r="I34" s="116" t="n"/>
    </row>
    <row r="35" ht="15.75" customHeight="1">
      <c r="A35" s="117">
        <f>IF(M60&gt;0,S3,IF(K40=2,S4,IF(D40&gt;3.875,S5,IF(M64&lt;M66,S6,"No Error"))))</f>
        <v/>
      </c>
      <c r="B35" s="118" t="n"/>
      <c r="C35" s="118" t="n"/>
      <c r="D35" s="119" t="n"/>
      <c r="E35" s="96" t="inlineStr">
        <is>
          <t>Dealer Name</t>
        </is>
      </c>
      <c r="F35" s="88" t="n"/>
      <c r="G35" s="118" t="n"/>
      <c r="H35" s="118" t="n"/>
      <c r="I35" s="119" t="n"/>
    </row>
    <row r="36" ht="15.75" customHeight="1">
      <c r="A36" s="117">
        <f>IF(D39&gt;8,"Glass Reveals Over 8 Inches Must Use at Least 12mm Glass","Please Confirm Glass Thickness")</f>
        <v/>
      </c>
      <c r="B36" s="118" t="n"/>
      <c r="C36" s="118" t="n"/>
      <c r="D36" s="119" t="n"/>
      <c r="E36" s="96" t="inlineStr">
        <is>
          <t xml:space="preserve">Color: </t>
        </is>
      </c>
      <c r="F36" s="88" t="n"/>
      <c r="G36" s="118" t="n"/>
      <c r="H36" s="118" t="n"/>
      <c r="I36" s="119" t="n"/>
    </row>
    <row r="37">
      <c r="A37" s="82" t="inlineStr">
        <is>
          <t>Railing Details</t>
        </is>
      </c>
      <c r="B37" s="115" t="n"/>
      <c r="C37" s="115" t="n"/>
      <c r="D37" s="21" t="n"/>
      <c r="E37" s="19" t="inlineStr">
        <is>
          <t>Job Reference</t>
        </is>
      </c>
      <c r="F37" s="88" t="n"/>
      <c r="G37" s="118" t="n"/>
      <c r="H37" s="118" t="n"/>
      <c r="I37" s="119" t="n"/>
    </row>
    <row r="38">
      <c r="A38" s="74" t="inlineStr">
        <is>
          <t>Rail Height</t>
        </is>
      </c>
      <c r="D38" s="16" t="n">
        <v>42</v>
      </c>
      <c r="E38" s="19" t="inlineStr">
        <is>
          <t>List of Material Details</t>
        </is>
      </c>
      <c r="F38" s="118" t="n"/>
      <c r="G38" s="118" t="n"/>
      <c r="H38" s="118" t="n"/>
      <c r="I38" s="119" t="n"/>
      <c r="K38" s="75">
        <f>IF(D39&gt;8,1,0)</f>
        <v/>
      </c>
    </row>
    <row r="39" ht="15" customHeight="1">
      <c r="A39" s="78" t="inlineStr">
        <is>
          <t>Top Glass Reveal From Top of Post to Top of Glass</t>
        </is>
      </c>
      <c r="D39" s="23" t="n">
        <v>2</v>
      </c>
      <c r="E39" s="71" t="inlineStr">
        <is>
          <t>Infinity Post Height</t>
        </is>
      </c>
      <c r="F39" s="20">
        <f>H3</f>
        <v/>
      </c>
      <c r="G39" s="118" t="n"/>
      <c r="H39" s="118" t="n"/>
      <c r="I39" s="119" t="n"/>
      <c r="K39" s="75">
        <f>IF(D41=10,1,0)</f>
        <v/>
      </c>
      <c r="M39" s="75">
        <f>D38-24</f>
        <v/>
      </c>
    </row>
    <row r="40" ht="15" customHeight="1">
      <c r="A40" s="78" t="inlineStr">
        <is>
          <t>Bottom Glass Gap From Deck to Bottom of Glass</t>
        </is>
      </c>
      <c r="D40" s="23" t="n">
        <v>2</v>
      </c>
      <c r="E40" s="20" t="inlineStr">
        <is>
          <t>Length of Glass Insert For Post</t>
        </is>
      </c>
      <c r="F40" s="20">
        <f>IF(D41=12,F15,F17)</f>
        <v/>
      </c>
      <c r="G40" s="118" t="n"/>
      <c r="H40" s="118" t="n"/>
      <c r="I40" s="119" t="n"/>
      <c r="K40" s="75">
        <f>SUM(K38:K39)</f>
        <v/>
      </c>
      <c r="M40" s="75">
        <f>D38-D39-16</f>
        <v/>
      </c>
    </row>
    <row r="41">
      <c r="A41" s="79" t="inlineStr">
        <is>
          <t>Glass Thickness 13mm or 12mm</t>
        </is>
      </c>
      <c r="B41" s="116" t="n"/>
      <c r="C41" s="116" t="n"/>
      <c r="D41" s="17" t="n">
        <v>13</v>
      </c>
      <c r="E41" s="20" t="inlineStr">
        <is>
          <t>Length of End Post Insert For Post</t>
        </is>
      </c>
      <c r="F41" s="20">
        <f>F16</f>
        <v/>
      </c>
      <c r="G41" s="118" t="n"/>
      <c r="H41" s="118" t="n"/>
      <c r="I41" s="119" t="n"/>
      <c r="K41" s="75" t="n">
        <v>8</v>
      </c>
      <c r="M41" s="75">
        <f>D40</f>
        <v/>
      </c>
    </row>
    <row r="42">
      <c r="A42" s="72" t="inlineStr">
        <is>
          <t>Quantities</t>
        </is>
      </c>
      <c r="B42" s="115" t="n"/>
      <c r="C42" s="115" t="n"/>
      <c r="D42" s="22" t="n"/>
      <c r="E42" s="70" t="inlineStr">
        <is>
          <t>0.5" Base Plate Setting Block Height</t>
        </is>
      </c>
      <c r="F42" s="20">
        <f>F20</f>
        <v/>
      </c>
      <c r="G42" s="118" t="n"/>
      <c r="H42" s="118" t="n"/>
      <c r="I42" s="119" t="n"/>
    </row>
    <row r="43">
      <c r="A43" s="74" t="inlineStr">
        <is>
          <t># of Mid Posts</t>
        </is>
      </c>
      <c r="D43" s="16" t="n">
        <v>3</v>
      </c>
      <c r="E43" s="70" t="inlineStr">
        <is>
          <t>0.25" Base Plate Setting Block Height</t>
        </is>
      </c>
      <c r="F43" s="20">
        <f>F21</f>
        <v/>
      </c>
      <c r="G43" s="118" t="n"/>
      <c r="H43" s="118" t="n"/>
      <c r="I43" s="119" t="n"/>
    </row>
    <row r="44">
      <c r="A44" s="74" t="inlineStr">
        <is>
          <t># of End Posts</t>
        </is>
      </c>
      <c r="D44" s="16" t="n">
        <v>1</v>
      </c>
      <c r="E44" s="20" t="inlineStr">
        <is>
          <t>Wall Track Height</t>
        </is>
      </c>
      <c r="F44" s="20">
        <f>H5</f>
        <v/>
      </c>
      <c r="G44" s="118" t="n"/>
      <c r="H44" s="118" t="n"/>
      <c r="I44" s="119" t="n"/>
    </row>
    <row r="45">
      <c r="A45" s="74" t="inlineStr">
        <is>
          <t># of Outside Corner Posts</t>
        </is>
      </c>
      <c r="D45" s="16" t="n">
        <v>0</v>
      </c>
      <c r="E45" s="70" t="inlineStr">
        <is>
          <t>2.5" Post Height</t>
        </is>
      </c>
      <c r="F45" s="20">
        <f>H4</f>
        <v/>
      </c>
      <c r="G45" s="118" t="n"/>
      <c r="H45" s="118" t="n"/>
      <c r="I45" s="119" t="n"/>
    </row>
    <row r="46">
      <c r="A46" s="74" t="inlineStr">
        <is>
          <t># of Inside Corner Posts</t>
        </is>
      </c>
      <c r="D46" s="16" t="n">
        <v>0</v>
      </c>
      <c r="E46" s="28" t="inlineStr">
        <is>
          <t>Length of Glass Panel Insert For Track</t>
        </is>
      </c>
      <c r="F46" s="28">
        <f>IF(D41=10,F18,F19)</f>
        <v/>
      </c>
      <c r="G46" s="115" t="n"/>
      <c r="H46" s="115" t="n"/>
      <c r="I46" s="120" t="n"/>
    </row>
    <row r="47">
      <c r="A47" s="74" t="inlineStr">
        <is>
          <t># of Wall Tracks</t>
        </is>
      </c>
      <c r="D47" s="16" t="n">
        <v>5</v>
      </c>
      <c r="E47" s="19" t="inlineStr">
        <is>
          <t>Recap of Materials to Order (Not Including Add Ons and Accessories)</t>
        </is>
      </c>
      <c r="F47" s="118" t="n"/>
      <c r="G47" s="118" t="n"/>
      <c r="H47" s="118" t="n"/>
      <c r="I47" s="119" t="n"/>
      <c r="N47" s="75" t="inlineStr">
        <is>
          <t>Paint Cost</t>
        </is>
      </c>
    </row>
    <row r="48">
      <c r="A48" s="74" t="inlineStr">
        <is>
          <t># of 2.5" End Left Posts</t>
        </is>
      </c>
      <c r="D48" s="16" t="n">
        <v>0</v>
      </c>
      <c r="E48" s="97" t="n"/>
      <c r="F48" s="97" t="inlineStr">
        <is>
          <t>QTY</t>
        </is>
      </c>
      <c r="H48" s="97" t="inlineStr">
        <is>
          <t>Cost (Ea)</t>
        </is>
      </c>
      <c r="I48" s="103" t="inlineStr">
        <is>
          <t>Total</t>
        </is>
      </c>
    </row>
    <row r="49">
      <c r="A49" s="74" t="inlineStr">
        <is>
          <t># of 2.5" End Right Posts</t>
        </is>
      </c>
      <c r="D49" s="16" t="n">
        <v>0</v>
      </c>
      <c r="E49" s="75">
        <f>IF($D$41=13,IF(D52=O18,IF(G27&gt;60,"Gasket 13mm 10 Ft Cut To 72 Inches",IF(G27&gt;40,"Gasket 13mm 10 Ft Cut To 60 Inches","Gasket 13mm 10 Ft Cut To 40 Inches")),"Gasket 13mm 10 Ft Lengths"),IF(D52=O18,IF(G26&gt;48,"Gasket 12mm 12Ft Cut to 72 Inches","Gasket 12mm 12 Ft Cut To 48"),"Gasket 12mm 12 Ft Lengths"))</f>
        <v/>
      </c>
      <c r="F49" s="75">
        <f>IF(D41=13,K19,L19)</f>
        <v/>
      </c>
      <c r="H49" s="114">
        <f>IF(D41=13,IF(D52=O18,B30*(1-$D$51),B15*(1-$D$51)),IF(D52=O18,B31*(1-$D$51),B16*(1-$D$51)))</f>
        <v/>
      </c>
      <c r="I49" s="113">
        <f>H49*F49</f>
        <v/>
      </c>
    </row>
    <row r="50">
      <c r="A50" s="79" t="inlineStr">
        <is>
          <t>Base Plate Gaskets</t>
        </is>
      </c>
      <c r="B50" s="116" t="n"/>
      <c r="C50" s="116" t="n"/>
      <c r="D50" s="16" t="inlineStr">
        <is>
          <t>No</t>
        </is>
      </c>
      <c r="E50" s="74" t="inlineStr">
        <is>
          <t>Setting Block (10 Ft Length)</t>
        </is>
      </c>
      <c r="F50" s="75">
        <f>IF($D$52=$O$18,0,IF(M22&lt;7,M21,M21+1))</f>
        <v/>
      </c>
      <c r="H50" s="114">
        <f>B17*(1-$D$51)</f>
        <v/>
      </c>
      <c r="I50" s="113">
        <f>H50*F50</f>
        <v/>
      </c>
    </row>
    <row r="51">
      <c r="A51" s="70" t="inlineStr">
        <is>
          <t>Discount Level</t>
        </is>
      </c>
      <c r="B51" s="118" t="n"/>
      <c r="C51" s="118" t="n"/>
      <c r="D51" s="121" t="n">
        <v>0.435</v>
      </c>
      <c r="E51" s="74" t="inlineStr">
        <is>
          <t>Setting Block (Per Ft)</t>
        </is>
      </c>
      <c r="F51" s="75">
        <f>IF($D$52=$O$18,M20,IF(M22&lt;7,M22,0))</f>
        <v/>
      </c>
      <c r="H51" s="114">
        <f>B18*(1-$D$51)</f>
        <v/>
      </c>
      <c r="I51" s="113">
        <f>H51*F51</f>
        <v/>
      </c>
    </row>
    <row r="52">
      <c r="A52" s="70" t="inlineStr">
        <is>
          <t>Ship Via Courier</t>
        </is>
      </c>
      <c r="B52" s="118" t="n"/>
      <c r="C52" s="118" t="n"/>
      <c r="D52" s="16" t="inlineStr">
        <is>
          <t>Yes</t>
        </is>
      </c>
      <c r="E52" s="74" t="inlineStr">
        <is>
          <t>Setting Block (1.5" Pieces)</t>
        </is>
      </c>
      <c r="F52" s="75">
        <f>F24+G24</f>
        <v/>
      </c>
      <c r="H52" s="114">
        <f>B19*(1-$D$51)</f>
        <v/>
      </c>
      <c r="I52" s="113">
        <f>H52*F52</f>
        <v/>
      </c>
    </row>
    <row r="53" ht="15" customHeight="1">
      <c r="A53" s="122" t="inlineStr">
        <is>
          <t>Add Ons</t>
        </is>
      </c>
      <c r="B53" s="115" t="n"/>
      <c r="C53" s="115" t="n"/>
      <c r="D53" s="120" t="n"/>
      <c r="E53" s="75">
        <f>IF($D$41=10,"Glass Wedge 10mm (4 Inch Piece)","Glass Wedge 12mm (3 Inch Piece)")</f>
        <v/>
      </c>
      <c r="F53" s="75">
        <f>G22</f>
        <v/>
      </c>
      <c r="H53" s="114">
        <f>IF(D41=10,B20*(1-$D$51),B21*(1-$D$51))</f>
        <v/>
      </c>
      <c r="I53" s="113">
        <f>H53*F53</f>
        <v/>
      </c>
    </row>
    <row r="54" ht="15" customHeight="1">
      <c r="A54" s="74" t="n"/>
      <c r="B54" s="75" t="inlineStr">
        <is>
          <t>QTY</t>
        </is>
      </c>
      <c r="C54" s="75" t="inlineStr">
        <is>
          <t>Cost (Ea)</t>
        </is>
      </c>
      <c r="D54" s="5" t="inlineStr">
        <is>
          <t>Total</t>
        </is>
      </c>
      <c r="E54" s="75" t="inlineStr">
        <is>
          <t>4" X 4" Base Plate Gaskets</t>
        </is>
      </c>
      <c r="F54" s="75">
        <f>IF(D50=O18, D43+D44+D45+D46+D48+D49-B58-B60,0)</f>
        <v/>
      </c>
      <c r="H54" s="114">
        <f>B24*(1-$D$51)</f>
        <v/>
      </c>
      <c r="I54" s="113">
        <f>H54*F54</f>
        <v/>
      </c>
      <c r="K54" s="75">
        <f>D44</f>
        <v/>
      </c>
      <c r="M54" s="75">
        <f>IF(B55&gt;K54,1,0)</f>
        <v/>
      </c>
    </row>
    <row r="55" ht="15" customHeight="1">
      <c r="A55" s="25" t="inlineStr">
        <is>
          <t>Remove Track From Post</t>
        </is>
      </c>
      <c r="B55" s="26" t="n">
        <v>0</v>
      </c>
      <c r="C55" s="114">
        <f>U7*(1-$D$51)</f>
        <v/>
      </c>
      <c r="D55" s="113">
        <f>C55*B55</f>
        <v/>
      </c>
      <c r="E55" s="74" t="inlineStr">
        <is>
          <t>Infinity Mid Post</t>
        </is>
      </c>
      <c r="F55" s="75">
        <f>D44+D43</f>
        <v/>
      </c>
      <c r="H55" s="114">
        <f>$L$3*(1-$D$51)</f>
        <v/>
      </c>
      <c r="I55" s="113">
        <f>H55*F55</f>
        <v/>
      </c>
      <c r="K55" s="75">
        <f>D43+D45+D46</f>
        <v/>
      </c>
      <c r="M55" s="75">
        <f>IF(B56&gt;K55,1,0)</f>
        <v/>
      </c>
      <c r="N55" s="123">
        <f>$F$29</f>
        <v/>
      </c>
    </row>
    <row r="56" ht="15" customHeight="1">
      <c r="A56" s="25" t="inlineStr">
        <is>
          <t>Cut Down One Track</t>
        </is>
      </c>
      <c r="B56" s="26" t="n">
        <v>0</v>
      </c>
      <c r="C56" s="114">
        <f>U8*(1-$D$51)</f>
        <v/>
      </c>
      <c r="D56" s="113">
        <f>C56*B56</f>
        <v/>
      </c>
      <c r="E56" s="74" t="inlineStr">
        <is>
          <t>Infinity Outside Corner Post</t>
        </is>
      </c>
      <c r="F56" s="75">
        <f>D45</f>
        <v/>
      </c>
      <c r="H56" s="114">
        <f>$L$3*(1-$D$51)</f>
        <v/>
      </c>
      <c r="I56" s="113">
        <f>H56*F56</f>
        <v/>
      </c>
      <c r="K56" s="75">
        <f>D44+D43+D45+D46</f>
        <v/>
      </c>
      <c r="M56" s="75">
        <f>IF(B58&gt;K56,1,0)</f>
        <v/>
      </c>
      <c r="N56" s="123">
        <f>$F$29</f>
        <v/>
      </c>
    </row>
    <row r="57">
      <c r="A57" s="78" t="inlineStr">
        <is>
          <t>Add 5" X 5" X 0.5" Base Plate to Surface Mount Infinity Post</t>
        </is>
      </c>
      <c r="D57" s="5" t="n"/>
      <c r="E57" s="74" t="inlineStr">
        <is>
          <t>Infinity Inside Corner Post</t>
        </is>
      </c>
      <c r="F57" s="75">
        <f>D46</f>
        <v/>
      </c>
      <c r="H57" s="114">
        <f>$L$3*(1-$D$51)</f>
        <v/>
      </c>
      <c r="I57" s="113">
        <f>H57*F57</f>
        <v/>
      </c>
      <c r="K57" s="75">
        <f>D48+D49</f>
        <v/>
      </c>
      <c r="M57" s="75">
        <f>IF(B60&gt;K57,1,0)</f>
        <v/>
      </c>
      <c r="N57" s="123">
        <f>$F$29</f>
        <v/>
      </c>
    </row>
    <row r="58" ht="15" customHeight="1">
      <c r="A58" s="124" t="n"/>
      <c r="B58" s="26" t="n">
        <v>0</v>
      </c>
      <c r="C58" s="114">
        <f>U11*(1-$D$51)</f>
        <v/>
      </c>
      <c r="D58" s="113">
        <f>C58*B58</f>
        <v/>
      </c>
      <c r="E58" s="74" t="inlineStr">
        <is>
          <t>Infinity Wall Tracks</t>
        </is>
      </c>
      <c r="F58" s="75">
        <f>D47</f>
        <v/>
      </c>
      <c r="H58" s="114">
        <f>$L$5*(1-$D$51)</f>
        <v/>
      </c>
      <c r="I58" s="113">
        <f>H58*F58</f>
        <v/>
      </c>
      <c r="K58" s="75">
        <f>D43+D44+D45+D46+D48+D49</f>
        <v/>
      </c>
      <c r="M58" s="75">
        <f>IF(B61&gt;K58,1,0)</f>
        <v/>
      </c>
      <c r="N58" s="123">
        <f>$F$30</f>
        <v/>
      </c>
    </row>
    <row r="59" ht="15" customHeight="1">
      <c r="A59" s="78" t="inlineStr">
        <is>
          <t>Add 5" X 5" X 0.5" Base Plate to Surface Mount 2.5" Post</t>
        </is>
      </c>
      <c r="B59" s="27" t="n"/>
      <c r="D59" s="5" t="n"/>
      <c r="E59" s="74" t="inlineStr">
        <is>
          <t>End Caps</t>
        </is>
      </c>
      <c r="F59" s="75">
        <f>D44-B55</f>
        <v/>
      </c>
      <c r="H59" s="114">
        <f>B22*(1-$D$51)</f>
        <v/>
      </c>
      <c r="I59" s="113">
        <f>H59*F59</f>
        <v/>
      </c>
      <c r="K59" s="75">
        <f>D43+D44+D46</f>
        <v/>
      </c>
      <c r="M59" s="75">
        <f>IF(B63&gt;K59,1,0)</f>
        <v/>
      </c>
      <c r="N59" s="123" t="n">
        <v>1.03</v>
      </c>
    </row>
    <row r="60">
      <c r="A60" s="124" t="n"/>
      <c r="B60" s="26" t="n">
        <v>0</v>
      </c>
      <c r="C60" s="114">
        <f>I8*(1-$D$51)</f>
        <v/>
      </c>
      <c r="D60" s="113">
        <f>C60*B60</f>
        <v/>
      </c>
      <c r="E60" s="74" t="inlineStr">
        <is>
          <t>2.5" End Left Posts</t>
        </is>
      </c>
      <c r="F60" s="75">
        <f>D48</f>
        <v/>
      </c>
      <c r="H60" s="114">
        <f>$L$4*(1-$D$51)</f>
        <v/>
      </c>
      <c r="I60" s="113">
        <f>H60*F60</f>
        <v/>
      </c>
      <c r="M60" s="75">
        <f>SUM(M52:M59)</f>
        <v/>
      </c>
      <c r="N60" s="123">
        <f>$F$29</f>
        <v/>
      </c>
    </row>
    <row r="61">
      <c r="A61" s="74" t="inlineStr">
        <is>
          <t>Add Welded Surface Base</t>
        </is>
      </c>
      <c r="B61" s="26" t="n">
        <v>0</v>
      </c>
      <c r="C61" s="114">
        <f>U14*(1-$D$51)</f>
        <v/>
      </c>
      <c r="D61" s="113">
        <f>C61*B61</f>
        <v/>
      </c>
      <c r="E61" s="74" t="inlineStr">
        <is>
          <t>2.5" End Right Posts</t>
        </is>
      </c>
      <c r="F61" s="75">
        <f>D49</f>
        <v/>
      </c>
      <c r="H61" s="114">
        <f>$L$4*(1-$D$51)</f>
        <v/>
      </c>
      <c r="I61" s="113">
        <f>H61*F61</f>
        <v/>
      </c>
      <c r="N61" s="123">
        <f>$F$29</f>
        <v/>
      </c>
    </row>
    <row r="62">
      <c r="A62" s="77" t="inlineStr">
        <is>
          <t>Add Welded Extruded Side Mount 1.9 Pipe</t>
        </is>
      </c>
      <c r="D62" s="5" t="n"/>
      <c r="E62" s="79" t="inlineStr">
        <is>
          <t>2.5" Post Caps</t>
        </is>
      </c>
      <c r="F62" s="80">
        <f>F61+F60</f>
        <v/>
      </c>
      <c r="H62" s="125">
        <f>$B$23*(1-$D$51)</f>
        <v/>
      </c>
      <c r="I62" s="126">
        <f>H62*F62</f>
        <v/>
      </c>
      <c r="K62" s="75">
        <f>D43+D44</f>
        <v/>
      </c>
      <c r="N62" s="123" t="n">
        <v>1.76</v>
      </c>
    </row>
    <row r="63">
      <c r="A63" s="127" t="n"/>
      <c r="B63" s="26" t="n">
        <v>0</v>
      </c>
      <c r="C63" s="125">
        <f>U16*(1-$D$51)</f>
        <v/>
      </c>
      <c r="D63" s="126">
        <f>C63*B63</f>
        <v/>
      </c>
      <c r="E63" s="82">
        <f>IF(D41=10,"10mm Job Cost","12mm Job Cost")</f>
        <v/>
      </c>
      <c r="F63" s="128">
        <f>I49+I50+I51+I52+I53+I59+I55+I56+I57+I58+I60+I61+I62+K69+I54</f>
        <v/>
      </c>
      <c r="G63" s="115" t="n"/>
      <c r="H63" s="115" t="n"/>
      <c r="I63" s="5" t="n"/>
      <c r="K63" s="75">
        <f>D45</f>
        <v/>
      </c>
    </row>
    <row r="64" ht="15.75" customHeight="1">
      <c r="A64" s="122" t="inlineStr">
        <is>
          <t>Accessories</t>
        </is>
      </c>
      <c r="B64" s="115" t="n"/>
      <c r="C64" s="115" t="n"/>
      <c r="D64" s="120" t="n"/>
      <c r="E64" s="100">
        <f>IF(F36=P3,"CONTACT IAS FOR CUSTOM COLOR PRICING","STANDARD COLOR")</f>
        <v/>
      </c>
      <c r="I64" s="5" t="n"/>
      <c r="K64" s="75">
        <f>D46</f>
        <v/>
      </c>
      <c r="M64" s="75">
        <f>K62+K63+K64-B58</f>
        <v/>
      </c>
    </row>
    <row r="65">
      <c r="A65" s="74" t="inlineStr">
        <is>
          <t>Drink Holders</t>
        </is>
      </c>
      <c r="B65" s="38" t="n">
        <v>0</v>
      </c>
      <c r="C65" s="114">
        <f>B28*(1-$D$51)</f>
        <v/>
      </c>
      <c r="D65" s="113">
        <f>C65*B65</f>
        <v/>
      </c>
      <c r="I65" s="5" t="n"/>
    </row>
    <row r="66">
      <c r="A66" s="74" t="inlineStr">
        <is>
          <t>Glass Shelf Kits</t>
        </is>
      </c>
      <c r="B66" s="38" t="n">
        <v>0</v>
      </c>
      <c r="C66" s="114">
        <f>B29*(1-$D$51)</f>
        <v/>
      </c>
      <c r="D66" s="113">
        <f>C66*B66</f>
        <v/>
      </c>
      <c r="E66" s="40" t="n"/>
      <c r="F66" s="129" t="n"/>
      <c r="G66" s="129" t="n"/>
      <c r="H66" s="129" t="n"/>
      <c r="I66" s="5" t="n"/>
      <c r="M66" s="75">
        <f>B67+B68+B69</f>
        <v/>
      </c>
    </row>
    <row r="67">
      <c r="A67" s="74" t="inlineStr">
        <is>
          <t>Mid Base Plate Covers</t>
        </is>
      </c>
      <c r="B67" s="38" t="n">
        <v>0</v>
      </c>
      <c r="C67" s="114">
        <f>B25*(1-$D$51)</f>
        <v/>
      </c>
      <c r="D67" s="113">
        <f>C67*B67</f>
        <v/>
      </c>
      <c r="I67" s="5" t="n"/>
      <c r="K67" s="75">
        <f>ROUND(D38/13+1,0)</f>
        <v/>
      </c>
    </row>
    <row r="68">
      <c r="A68" s="74" t="inlineStr">
        <is>
          <t>Outside Base Plate Covers</t>
        </is>
      </c>
      <c r="B68" s="38" t="n">
        <v>0</v>
      </c>
      <c r="C68" s="114">
        <f>B26*(1-$D$51)</f>
        <v/>
      </c>
      <c r="D68" s="113">
        <f>C68*B68</f>
        <v/>
      </c>
      <c r="E68" s="90" t="inlineStr">
        <is>
          <t>Number of Deck Fasteners Required (Not Included)</t>
        </is>
      </c>
      <c r="I68" s="51">
        <f>(D43+D44+D45+D46+D48+D49)*4</f>
        <v/>
      </c>
    </row>
    <row r="69">
      <c r="A69" s="79" t="inlineStr">
        <is>
          <t>Inside Base Plate Covers</t>
        </is>
      </c>
      <c r="B69" s="39" t="n">
        <v>0</v>
      </c>
      <c r="C69" s="125">
        <f>B27*(1-$D$51)</f>
        <v/>
      </c>
      <c r="D69" s="126">
        <f>C69*B69</f>
        <v/>
      </c>
      <c r="E69" s="92" t="inlineStr">
        <is>
          <t>Number of Wall Fasteners Required (Not Included)</t>
        </is>
      </c>
      <c r="F69" s="116" t="n"/>
      <c r="G69" s="116" t="n"/>
      <c r="H69" s="116" t="n"/>
      <c r="I69" s="52">
        <f>D47*K67</f>
        <v/>
      </c>
      <c r="K69" s="114">
        <f>D55+D56+D58+D60+D61+D63+D66+D65+D67+D68+D69</f>
        <v/>
      </c>
    </row>
  </sheetData>
  <mergeCells count="46">
    <mergeCell ref="A41:C41"/>
    <mergeCell ref="A53:D53"/>
    <mergeCell ref="A37:C37"/>
    <mergeCell ref="A35:D35"/>
    <mergeCell ref="F43:I43"/>
    <mergeCell ref="A46:C46"/>
    <mergeCell ref="F39:I39"/>
    <mergeCell ref="F37:I37"/>
    <mergeCell ref="A1:B1"/>
    <mergeCell ref="A50:C50"/>
    <mergeCell ref="A42:C42"/>
    <mergeCell ref="A47:C47"/>
    <mergeCell ref="E38:I38"/>
    <mergeCell ref="F44:I44"/>
    <mergeCell ref="A64:D64"/>
    <mergeCell ref="E68:H68"/>
    <mergeCell ref="E6:E7"/>
    <mergeCell ref="A43:C43"/>
    <mergeCell ref="A38:C38"/>
    <mergeCell ref="A36:D36"/>
    <mergeCell ref="A52:C52"/>
    <mergeCell ref="F40:I40"/>
    <mergeCell ref="A57:A58"/>
    <mergeCell ref="A44:C44"/>
    <mergeCell ref="E64:H64"/>
    <mergeCell ref="A40:C40"/>
    <mergeCell ref="A39:C39"/>
    <mergeCell ref="A34:I34"/>
    <mergeCell ref="H13:I13"/>
    <mergeCell ref="A48:C48"/>
    <mergeCell ref="F45:I45"/>
    <mergeCell ref="A62:A63"/>
    <mergeCell ref="A51:C51"/>
    <mergeCell ref="F42:I42"/>
    <mergeCell ref="F63:H63"/>
    <mergeCell ref="F36:I36"/>
    <mergeCell ref="F41:I41"/>
    <mergeCell ref="A49:C49"/>
    <mergeCell ref="E69:H69"/>
    <mergeCell ref="F35:I35"/>
    <mergeCell ref="A45:C45"/>
    <mergeCell ref="A59:A60"/>
    <mergeCell ref="C6:C7"/>
    <mergeCell ref="K13:L13"/>
    <mergeCell ref="E47:I47"/>
    <mergeCell ref="F46:I46"/>
  </mergeCells>
  <dataValidations count="15">
    <dataValidation sqref="D41" showDropDown="0" showInputMessage="1" showErrorMessage="1" allowBlank="1" errorTitle="Incorrect Glass Thickness" error="Error: Infinity Glass Rail Can Only Support 10mm or 12mm Glass" type="list" operator="equal">
      <formula1>N2:O2</formula1>
    </dataValidation>
    <dataValidation sqref="F36:I36" showDropDown="0" showInputMessage="1" showErrorMessage="1" allowBlank="1" type="list">
      <formula1>$P$3:$P$15</formula1>
    </dataValidation>
    <dataValidation sqref="M41" showDropDown="0" showInputMessage="1" showErrorMessage="1" allowBlank="1" errorTitle="Tall Bottom Gap" error="Warning: Your Bottom Gap is Greater Than or Equal To 4&quot;, Please Ensure That This Meets With Your Code Requirements" errorStyle="warning"/>
    <dataValidation sqref="K41" showDropDown="0" showInputMessage="1" showErrorMessage="1" allowBlank="1" errorTitle="DANGER" error="DANGER WILL ROBERTSON" type="whole" errorStyle="warning" operator="lessThan">
      <formula1>4</formula1>
    </dataValidation>
    <dataValidation sqref="B58" showDropDown="0" showInputMessage="1" showErrorMessage="1" allowBlank="1" errorTitle="Infinity Base Plate Error" error="Error: Cannot Add More Base Plates Than There Are Infinity Posts" type="whole" operator="lessThanOrEqual">
      <formula1>K56</formula1>
    </dataValidation>
    <dataValidation sqref="B56" showDropDown="0" showInputMessage="1" showErrorMessage="1" allowBlank="1" errorTitle="Cut Down Track Error" error="Error: Cannot Cut Down More Tracks than the combined number of Infinity Mid, Outside, and Inside Posts" type="whole" operator="lessThanOrEqual">
      <formula1>K55</formula1>
    </dataValidation>
    <dataValidation sqref="B55" showDropDown="0" showInputMessage="1" showErrorMessage="1" allowBlank="1" errorTitle="Remove Track Error" error="Error: Tracks Can Only Be Removed From End Posts, Cannot Remove More Tracks Than The Number of End Posts" type="whole" operator="lessThanOrEqual">
      <formula1>K54</formula1>
    </dataValidation>
    <dataValidation sqref="B60" showDropDown="0" showInputMessage="1" showErrorMessage="1" allowBlank="1" errorTitle="2 1/2&quot; Base Plate Error" error="Error: Cannot Add More Base Plates Than There Are 2 1/2&quot; Posts" type="whole" operator="lessThanOrEqual">
      <formula1>K57</formula1>
    </dataValidation>
    <dataValidation sqref="B61" showDropDown="0" showInputMessage="1" showErrorMessage="1" allowBlank="1" errorTitle="Welded Plate Error" error="Error: Cannot Weld More Base Plates Than There Are Posts" type="whole" operator="lessThanOrEqual">
      <formula1>K58</formula1>
    </dataValidation>
    <dataValidation sqref="B63" showDropDown="0" showInputMessage="1" showErrorMessage="1" allowBlank="1" errorTitle="Welded Side Mount Error" error="Error: Can Only Weld Side Mounts To Mid, End, or Inside Posts.  Cannot Have More Welded Side Mounts Than the Combined Number of Those Posts_x000a_" type="whole" operator="lessThanOrEqual">
      <formula1>K59</formula1>
    </dataValidation>
    <dataValidation sqref="D50 D52" showDropDown="0" showInputMessage="1" showErrorMessage="1" allowBlank="1" errorTitle="Invalid Answer" error="Please Select or Type Either Yes or No" type="list">
      <formula1>$O$18:$P$18</formula1>
    </dataValidation>
    <dataValidation sqref="B67" showDropDown="0" showInputMessage="1" showErrorMessage="1" allowBlank="1" errorTitle="Base Plate Covers" error="Error: Cannot have More Mid Base Plate Covers Than The Number of Mid and End Infinity Posts" type="whole" operator="lessThanOrEqual">
      <formula1>K62</formula1>
    </dataValidation>
    <dataValidation sqref="B68" showDropDown="0" showInputMessage="1" showErrorMessage="1" allowBlank="1" errorTitle="Base Plate Covers" error="Error: Cannot Have More Outside Covers Than The Number Of Outside Corner Posts" type="whole" operator="lessThanOrEqual">
      <formula1>K63</formula1>
    </dataValidation>
    <dataValidation sqref="B69" showDropDown="0" showInputMessage="1" showErrorMessage="1" allowBlank="1" errorTitle="Base Plate Covers" error="Error: Cannot Have More Base Plate Covers Than Inside Base Plates" type="whole" operator="lessThanOrEqual">
      <formula1>K64</formula1>
    </dataValidation>
    <dataValidation sqref="D43:D49" showDropDown="0" showInputMessage="1" showErrorMessage="1" allowBlank="1" errorTitle="Incorrect Quantity" error="Quantity Must be a Whole Number Greater Than or Equal To Zero_x000a_" type="whole" operator="greaterThanOrEqual">
      <formula1>0</formula1>
    </dataValidation>
  </dataValidations>
  <pageMargins left="0.7" right="0.7" top="1.115625" bottom="0.75" header="0.3" footer="0.3"/>
  <pageSetup orientation="landscape" scale="85" horizontalDpi="4294967294" verticalDpi="4294967294"/>
  <headerFooter>
    <oddHeader>&amp;L&amp;G&amp;R&amp;G</oddHeader>
    <oddFooter>&amp;CPrior to ordering it is recommended that you consult with a local engineer to determine the appropriate post spacing, _x000a_post heights, wall fastener and deck fastener requirements for your job site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9"/>
  <sheetViews>
    <sheetView tabSelected="1" showRuler="0" topLeftCell="A57" zoomScaleNormal="100" workbookViewId="0">
      <selection activeCell="I79" sqref="I79"/>
    </sheetView>
  </sheetViews>
  <sheetFormatPr baseColWidth="8" defaultColWidth="6.85546875" defaultRowHeight="15"/>
  <cols>
    <col width="27.7109375" customWidth="1" min="1" max="1"/>
    <col width="8.7109375" customWidth="1" min="2" max="3"/>
    <col width="15.7109375" customWidth="1" min="4" max="4"/>
    <col width="34.7109375" customWidth="1" min="5" max="5"/>
    <col width="8.7109375" customWidth="1" min="6" max="7"/>
    <col width="15.7109375" customWidth="1" min="8" max="8"/>
    <col width="14" bestFit="1" customWidth="1" min="9" max="9"/>
    <col width="9" bestFit="1" customWidth="1" min="10" max="11"/>
    <col width="7" bestFit="1" customWidth="1" min="12" max="12"/>
    <col width="9" bestFit="1" customWidth="1" min="13" max="13"/>
    <col width="7" bestFit="1" customWidth="1" min="15" max="15"/>
  </cols>
  <sheetData>
    <row r="1" hidden="1" ht="30" customHeight="1">
      <c r="A1" t="inlineStr">
        <is>
          <t>Rail Height</t>
        </is>
      </c>
      <c r="B1" t="inlineStr">
        <is>
          <t>26"</t>
        </is>
      </c>
      <c r="C1" t="inlineStr">
        <is>
          <t>36"</t>
        </is>
      </c>
      <c r="D1" t="inlineStr">
        <is>
          <t>42"</t>
        </is>
      </c>
      <c r="I1" s="43" t="inlineStr">
        <is>
          <t>Post Height</t>
        </is>
      </c>
      <c r="J1" s="43" t="inlineStr">
        <is>
          <t>Price Type A</t>
        </is>
      </c>
      <c r="K1" s="43" t="inlineStr">
        <is>
          <t>Price Type B</t>
        </is>
      </c>
      <c r="M1" s="43" t="inlineStr">
        <is>
          <t>List Price</t>
        </is>
      </c>
      <c r="S1" s="75" t="inlineStr">
        <is>
          <t>Custom</t>
        </is>
      </c>
    </row>
    <row r="2" hidden="1">
      <c r="A2" t="inlineStr">
        <is>
          <t>Infinity Post Cut Size</t>
        </is>
      </c>
      <c r="B2" t="inlineStr">
        <is>
          <t>32"</t>
        </is>
      </c>
      <c r="C2" t="inlineStr">
        <is>
          <t>42"</t>
        </is>
      </c>
      <c r="D2" t="inlineStr">
        <is>
          <t>48"</t>
        </is>
      </c>
      <c r="H2" t="inlineStr">
        <is>
          <t>Infinity</t>
        </is>
      </c>
      <c r="I2">
        <f>D60-D61+D63+5</f>
        <v/>
      </c>
      <c r="J2" s="129">
        <f>$C$3+($I$2-42)*$E$10</f>
        <v/>
      </c>
      <c r="K2" s="129">
        <f>$C$3+($I$2-42)*$C$10</f>
        <v/>
      </c>
      <c r="M2" s="129">
        <f>MAX(J2:K2)</f>
        <v/>
      </c>
      <c r="S2" s="75" t="inlineStr">
        <is>
          <t>Innovative Series Beige</t>
        </is>
      </c>
    </row>
    <row r="3" hidden="1">
      <c r="A3" t="inlineStr">
        <is>
          <t>Infinity Post</t>
        </is>
      </c>
      <c r="B3" s="130" t="n">
        <v>152.674815</v>
      </c>
      <c r="C3" s="130" t="n">
        <v>172.33628</v>
      </c>
      <c r="D3" s="130" t="n">
        <v>185.60592</v>
      </c>
      <c r="H3" t="inlineStr">
        <is>
          <t>Wall Track</t>
        </is>
      </c>
      <c r="I3">
        <f>D60-2</f>
        <v/>
      </c>
      <c r="J3" s="129">
        <f>$C$4+($I$3-34)*$E$11</f>
        <v/>
      </c>
      <c r="K3" s="129">
        <f>$D$4+($I$3-40)*($E$11+H11)</f>
        <v/>
      </c>
      <c r="M3" s="129">
        <f>MAX(J3:K3)</f>
        <v/>
      </c>
      <c r="S3" s="75" t="inlineStr">
        <is>
          <t>Innovative Series Black</t>
        </is>
      </c>
    </row>
    <row r="4" hidden="1">
      <c r="A4" t="inlineStr">
        <is>
          <t>Wall Track</t>
        </is>
      </c>
      <c r="B4" s="129" t="n"/>
      <c r="C4" s="130" t="n">
        <v>55.624725</v>
      </c>
      <c r="D4" s="130" t="n">
        <v>58.55123</v>
      </c>
      <c r="F4" s="129" t="n"/>
      <c r="H4" t="inlineStr">
        <is>
          <t>2 1/2"</t>
        </is>
      </c>
      <c r="I4">
        <f>D60+1+D63+5</f>
        <v/>
      </c>
      <c r="J4" s="129">
        <f>$C$5+($I$4-45)*$E$12</f>
        <v/>
      </c>
      <c r="K4" s="129">
        <f>$C$5+($I$4-45)*K11</f>
        <v/>
      </c>
      <c r="M4" s="129">
        <f>MAX(J4:K4)</f>
        <v/>
      </c>
      <c r="S4" s="75" t="inlineStr">
        <is>
          <t>Innovative Series Coastal Grey</t>
        </is>
      </c>
    </row>
    <row r="5" hidden="1" ht="30" customHeight="1">
      <c r="A5" t="inlineStr">
        <is>
          <t>2 1/2" Post</t>
        </is>
      </c>
      <c r="B5" s="129" t="n"/>
      <c r="C5" s="130" t="n">
        <v>186.19756</v>
      </c>
      <c r="D5" s="130" t="n">
        <v>199.21364</v>
      </c>
      <c r="J5" s="43" t="inlineStr">
        <is>
          <t>Paint Type A</t>
        </is>
      </c>
      <c r="K5" s="43" t="n"/>
      <c r="S5" s="75" t="inlineStr">
        <is>
          <t>Innovative Series Hartford Green</t>
        </is>
      </c>
    </row>
    <row r="6" hidden="1">
      <c r="B6" t="inlineStr">
        <is>
          <t>36"</t>
        </is>
      </c>
      <c r="C6" s="129" t="inlineStr">
        <is>
          <t>42"</t>
        </is>
      </c>
      <c r="D6" t="inlineStr">
        <is>
          <t>48"</t>
        </is>
      </c>
      <c r="H6" t="inlineStr">
        <is>
          <t>Post</t>
        </is>
      </c>
      <c r="J6" s="58">
        <f>IF($I$2&lt;36,7.5,IF(I2&lt;42,7.5+(I2-36)*((9.13-7.5)/6),IF(I2=42,9.13,9.13+(I2-42)*((10.88-9.13)/6))))*1.1</f>
        <v/>
      </c>
      <c r="S6" s="75" t="inlineStr">
        <is>
          <t>Innovative Series Light Ivory</t>
        </is>
      </c>
    </row>
    <row r="7" hidden="1">
      <c r="A7" t="inlineStr">
        <is>
          <t>Post</t>
        </is>
      </c>
      <c r="C7" s="129" t="n">
        <v>9.130000000000001</v>
      </c>
      <c r="D7" s="129" t="n">
        <v>10.88</v>
      </c>
      <c r="H7" t="inlineStr">
        <is>
          <t>Track</t>
        </is>
      </c>
      <c r="J7" s="58">
        <f>IF(I3&gt;40,D8/40*(I3-40)+D8,2.88)*1.1</f>
        <v/>
      </c>
      <c r="S7" s="75" t="inlineStr">
        <is>
          <t>Innovative Series Oyster Grey</t>
        </is>
      </c>
    </row>
    <row r="8" hidden="1">
      <c r="A8" t="inlineStr">
        <is>
          <t>Track</t>
        </is>
      </c>
      <c r="D8" s="129" t="n">
        <v>2.88</v>
      </c>
      <c r="S8" s="75" t="inlineStr">
        <is>
          <t>Innovative Series Phantom Bronze</t>
        </is>
      </c>
    </row>
    <row r="9" hidden="1" ht="60" customHeight="1">
      <c r="B9" s="43" t="inlineStr">
        <is>
          <t>Cost Difference Per 10"</t>
        </is>
      </c>
      <c r="C9" s="43" t="inlineStr">
        <is>
          <t>Cost Difference Per Inch</t>
        </is>
      </c>
      <c r="D9" s="43" t="inlineStr">
        <is>
          <t>Cost Difference Per 6"</t>
        </is>
      </c>
      <c r="E9" s="43" t="inlineStr">
        <is>
          <t>Cost Difference Per Inch</t>
        </is>
      </c>
      <c r="G9" t="inlineStr">
        <is>
          <t>Paint Cost Per Inch</t>
        </is>
      </c>
      <c r="H9" s="75">
        <f>(2.3/40)*1.15</f>
        <v/>
      </c>
      <c r="J9" s="81" t="inlineStr">
        <is>
          <t xml:space="preserve"> Material Cost</t>
        </is>
      </c>
      <c r="K9" s="75">
        <f>0.09+0.17</f>
        <v/>
      </c>
      <c r="S9" s="75" t="inlineStr">
        <is>
          <t>Innovative Series Rideau Brown</t>
        </is>
      </c>
    </row>
    <row r="10" hidden="1" ht="15" customHeight="1">
      <c r="A10" t="inlineStr">
        <is>
          <t>Infinity</t>
        </is>
      </c>
      <c r="B10" s="129">
        <f>C3-B3</f>
        <v/>
      </c>
      <c r="C10" s="129">
        <f>B10/10</f>
        <v/>
      </c>
      <c r="D10" s="129">
        <f>D3-C3</f>
        <v/>
      </c>
      <c r="E10" s="129">
        <f>D10/6</f>
        <v/>
      </c>
      <c r="G10" t="inlineStr">
        <is>
          <t>Mark Up</t>
        </is>
      </c>
      <c r="H10" s="75">
        <f>49.67/11.03</f>
        <v/>
      </c>
      <c r="J10" s="75" t="inlineStr">
        <is>
          <t>Mark Up</t>
        </is>
      </c>
      <c r="K10" s="75">
        <f>119.68/24.74</f>
        <v/>
      </c>
      <c r="S10" s="75" t="inlineStr">
        <is>
          <t>Innovative Series Sandalwood</t>
        </is>
      </c>
    </row>
    <row r="11" hidden="1">
      <c r="A11" t="inlineStr">
        <is>
          <t>Wall Track</t>
        </is>
      </c>
      <c r="B11" s="114" t="inlineStr">
        <is>
          <t>\</t>
        </is>
      </c>
      <c r="C11" s="114" t="inlineStr">
        <is>
          <t>\</t>
        </is>
      </c>
      <c r="D11" s="129">
        <f>D4-C4</f>
        <v/>
      </c>
      <c r="E11" s="129">
        <f>D11/6</f>
        <v/>
      </c>
      <c r="G11" t="inlineStr">
        <is>
          <t>List</t>
        </is>
      </c>
      <c r="H11" s="75">
        <f>H9*H10</f>
        <v/>
      </c>
      <c r="J11" s="75" t="inlineStr">
        <is>
          <t>Per Inch</t>
        </is>
      </c>
      <c r="K11" s="75">
        <f>K9*K10</f>
        <v/>
      </c>
      <c r="S11" s="75" t="inlineStr">
        <is>
          <t>Innovative Series Silver Matte</t>
        </is>
      </c>
    </row>
    <row r="12" hidden="1">
      <c r="A12" t="inlineStr">
        <is>
          <t>2 1/2" Post</t>
        </is>
      </c>
      <c r="B12" s="75" t="inlineStr">
        <is>
          <t>\</t>
        </is>
      </c>
      <c r="C12" s="75" t="inlineStr">
        <is>
          <t>\</t>
        </is>
      </c>
      <c r="D12" s="129">
        <f>D5-C5</f>
        <v/>
      </c>
      <c r="E12" s="129">
        <f>D12/6</f>
        <v/>
      </c>
      <c r="S12" s="75" t="inlineStr">
        <is>
          <t>Innovative Series Textured Black</t>
        </is>
      </c>
    </row>
    <row r="13" hidden="1">
      <c r="S13" s="75" t="inlineStr">
        <is>
          <t>Innovative Series White</t>
        </is>
      </c>
    </row>
    <row r="14" hidden="1">
      <c r="G14" s="75" t="inlineStr">
        <is>
          <t>Glass Insert Calculations</t>
        </is>
      </c>
    </row>
    <row r="15" hidden="1" ht="60" customHeight="1">
      <c r="A15" s="75" t="inlineStr">
        <is>
          <t>Data Validation</t>
        </is>
      </c>
      <c r="I15" t="inlineStr">
        <is>
          <t>Cut Size</t>
        </is>
      </c>
      <c r="J15" s="43" t="inlineStr">
        <is>
          <t>Cuts Per Length</t>
        </is>
      </c>
      <c r="K15" s="43" t="inlineStr">
        <is>
          <t>QTY Needed</t>
        </is>
      </c>
      <c r="L15" s="43" t="inlineStr">
        <is>
          <t>Lengths Needed</t>
        </is>
      </c>
    </row>
    <row r="16" hidden="1">
      <c r="A16" s="75" t="inlineStr">
        <is>
          <t>Glass Thickness</t>
        </is>
      </c>
      <c r="B16" s="75" t="n">
        <v>12</v>
      </c>
      <c r="C16" s="75" t="n">
        <v>13</v>
      </c>
      <c r="D16" s="75" t="n"/>
      <c r="G16" s="104" t="inlineStr">
        <is>
          <t>10mm</t>
        </is>
      </c>
      <c r="H16" t="inlineStr">
        <is>
          <t>Post</t>
        </is>
      </c>
      <c r="I16" s="55">
        <f>$I$2-5-$D$63-$D$62-3</f>
        <v/>
      </c>
      <c r="J16">
        <f>IF($D$75=$F$55,ROUNDDOWN($F$18/(I16+0.125),0),ROUNDDOWN(120/(I16+0.125),0))</f>
        <v/>
      </c>
      <c r="K16">
        <f>$D$67*2+$D$68+$D$69*2+$D$70*2</f>
        <v/>
      </c>
      <c r="L16">
        <f>K16/J16</f>
        <v/>
      </c>
      <c r="M16" s="75" t="inlineStr">
        <is>
          <t>10mm Total</t>
        </is>
      </c>
      <c r="O16">
        <f>IF($D$75=$F$55,ROUNDUP((L16+L17+L18)/ROUNDDOWN(120/F18,0),0),ROUNDUP(L16+L17+L18,0))</f>
        <v/>
      </c>
    </row>
    <row r="17" hidden="1">
      <c r="A17" s="75" t="inlineStr">
        <is>
          <t>Rail Height</t>
        </is>
      </c>
      <c r="B17" s="75" t="n">
        <v>26</v>
      </c>
      <c r="C17" s="75" t="n">
        <v>72</v>
      </c>
      <c r="D17" s="75" t="n"/>
      <c r="E17" t="inlineStr">
        <is>
          <t>Biggest Cut Length</t>
        </is>
      </c>
      <c r="F17">
        <f>MAX(I16:I18)</f>
        <v/>
      </c>
      <c r="H17" t="inlineStr">
        <is>
          <t>track</t>
        </is>
      </c>
      <c r="I17">
        <f>$I$3-3-$D$62</f>
        <v/>
      </c>
      <c r="J17">
        <f>IF($D$75=$F$55,ROUNDDOWN($F$18/(I17+0.125),0),ROUNDDOWN(120/(I17+0.125),0))</f>
        <v/>
      </c>
      <c r="K17">
        <f>$D$71+$D$72+$D$73</f>
        <v/>
      </c>
      <c r="L17">
        <f>K17/J17</f>
        <v/>
      </c>
    </row>
    <row r="18" hidden="1">
      <c r="A18" s="75" t="inlineStr">
        <is>
          <t>Glass Reveal</t>
        </is>
      </c>
      <c r="B18" s="75">
        <f>D60-24</f>
        <v/>
      </c>
      <c r="C18" s="75" t="n"/>
      <c r="D18" s="75" t="n"/>
      <c r="F18">
        <f>IF(F17&gt;72,120,IF(F17&gt;60,72,IF(F17&gt;40,60,40)))</f>
        <v/>
      </c>
      <c r="H18" t="inlineStr">
        <is>
          <t>End</t>
        </is>
      </c>
      <c r="I18">
        <f>$I$2-1/4-5</f>
        <v/>
      </c>
      <c r="J18">
        <f>IF($D$75=$F$55,ROUNDDOWN($F$18/(I18+0.125),0),ROUNDDOWN(120/(I18+0.125),0))</f>
        <v/>
      </c>
      <c r="K18">
        <f>$D$68-$B$78</f>
        <v/>
      </c>
      <c r="L18">
        <f>K18/J18</f>
        <v/>
      </c>
    </row>
    <row r="19" hidden="1">
      <c r="A19" s="75" t="inlineStr">
        <is>
          <t>Bottom Gap</t>
        </is>
      </c>
      <c r="B19" s="75" t="n">
        <v>1</v>
      </c>
      <c r="C19" s="75">
        <f>I2-D63-5-16</f>
        <v/>
      </c>
      <c r="D19" s="75" t="n"/>
      <c r="G19" s="104" t="inlineStr">
        <is>
          <t>12mm</t>
        </is>
      </c>
      <c r="H19" t="inlineStr">
        <is>
          <t>Post</t>
        </is>
      </c>
      <c r="I19">
        <f>$I$2-5-$D$63-$D$62-3</f>
        <v/>
      </c>
      <c r="J19">
        <f>IF($D$75=$F$55,ROUNDDOWN($F$21/(I19+0.125),0),ROUNDDOWN(144/(I19+0.125),0))</f>
        <v/>
      </c>
      <c r="K19">
        <f>$D$67*2+$D$68+$D$69*2+$D$70*2</f>
        <v/>
      </c>
      <c r="L19">
        <f>K19/J19</f>
        <v/>
      </c>
      <c r="M19" s="75" t="inlineStr">
        <is>
          <t>12mm Total</t>
        </is>
      </c>
      <c r="O19">
        <f>IF($D$75=$F$55,ROUNDUP((L19+L20+L21)/ROUNDDOWN(144/F21,0),0),ROUNDUP(L19+L20+L21,0))</f>
        <v/>
      </c>
    </row>
    <row r="20" hidden="1">
      <c r="A20" s="75" t="inlineStr">
        <is>
          <t>Top of Base to Deck</t>
        </is>
      </c>
      <c r="B20" s="75" t="n">
        <v>1</v>
      </c>
      <c r="C20" s="75" t="n">
        <v>7</v>
      </c>
      <c r="D20" s="75" t="n"/>
      <c r="E20" t="inlineStr">
        <is>
          <t>Biggest Cut Length</t>
        </is>
      </c>
      <c r="F20">
        <f>MAX(I19:I21)</f>
        <v/>
      </c>
      <c r="H20" t="inlineStr">
        <is>
          <t>track</t>
        </is>
      </c>
      <c r="I20">
        <f>$I$3-3-$D$62</f>
        <v/>
      </c>
      <c r="J20">
        <f>IF($D$75=$F$55,ROUNDDOWN($F$21/(I20+0.125),0),ROUNDDOWN(144/(I20+0.125),0))</f>
        <v/>
      </c>
      <c r="K20">
        <f>$D$71+$D$72+$D$73</f>
        <v/>
      </c>
      <c r="L20">
        <f>K20/J20</f>
        <v/>
      </c>
    </row>
    <row r="21" hidden="1">
      <c r="A21" s="75" t="inlineStr">
        <is>
          <t>Fascia Offset</t>
        </is>
      </c>
      <c r="B21" s="75" t="n">
        <v>0.5</v>
      </c>
      <c r="C21" s="75" t="n">
        <v>2.5</v>
      </c>
      <c r="D21" s="75" t="n"/>
      <c r="F21">
        <f>IF(F20&gt;72,144,IF(F20&gt;48,72,48))</f>
        <v/>
      </c>
      <c r="H21" t="inlineStr">
        <is>
          <t>End</t>
        </is>
      </c>
      <c r="I21">
        <f>$I$2-1/4-5</f>
        <v/>
      </c>
      <c r="J21">
        <f>IF($D$75=$F$55,ROUNDDOWN($F$21/(I21+0.125),0),ROUNDDOWN(144/(I21+0.125),0))</f>
        <v/>
      </c>
      <c r="K21">
        <f>$D$68-$B$78</f>
        <v/>
      </c>
      <c r="L21">
        <f>K21/J21</f>
        <v/>
      </c>
    </row>
    <row r="22" hidden="1" ht="60" customHeight="1">
      <c r="A22" s="75" t="inlineStr">
        <is>
          <t>Remove Tracks</t>
        </is>
      </c>
      <c r="B22" s="75">
        <f>D68</f>
        <v/>
      </c>
      <c r="C22" s="75" t="n"/>
      <c r="D22" s="130">
        <f>(67.23*1.06)*1.0565</f>
        <v/>
      </c>
      <c r="I22" t="inlineStr">
        <is>
          <t>Cut Size</t>
        </is>
      </c>
      <c r="J22" s="43" t="inlineStr">
        <is>
          <t>Cuts Per Ft</t>
        </is>
      </c>
      <c r="K22" s="43" t="inlineStr">
        <is>
          <t>QTY Needed</t>
        </is>
      </c>
      <c r="L22" s="43" t="inlineStr">
        <is>
          <t>Footage Needed</t>
        </is>
      </c>
    </row>
    <row r="23" hidden="1">
      <c r="A23" s="75" t="inlineStr">
        <is>
          <t>Cut Down Tracks</t>
        </is>
      </c>
      <c r="B23" s="75">
        <f>D67+D69+D70</f>
        <v/>
      </c>
      <c r="D23" s="130">
        <f>(54.7*1.06)*1.0565</f>
        <v/>
      </c>
      <c r="G23" s="81" t="inlineStr">
        <is>
          <t>Setting Blocks</t>
        </is>
      </c>
      <c r="H23" t="inlineStr">
        <is>
          <t>Post</t>
        </is>
      </c>
      <c r="I23">
        <f>D62+D63</f>
        <v/>
      </c>
      <c r="J23">
        <f>12/(I23+0.25)</f>
        <v/>
      </c>
      <c r="K23">
        <f>K16</f>
        <v/>
      </c>
      <c r="L23">
        <f>K23/J23</f>
        <v/>
      </c>
      <c r="M23" s="75" t="inlineStr">
        <is>
          <t>1.5 Cut Pieces</t>
        </is>
      </c>
      <c r="O23">
        <f>IF(I24=1.5,K24,0)</f>
        <v/>
      </c>
    </row>
    <row r="24" hidden="1">
      <c r="A24" s="75" t="inlineStr">
        <is>
          <t>Welded 1.9 Side Mounts</t>
        </is>
      </c>
      <c r="B24" s="75">
        <f>D70+D68+D67</f>
        <v/>
      </c>
      <c r="D24" s="130">
        <f>(44.23*1.06)*1.0565</f>
        <v/>
      </c>
      <c r="H24" t="inlineStr">
        <is>
          <t>Track</t>
        </is>
      </c>
      <c r="I24">
        <f>D62-1/2</f>
        <v/>
      </c>
      <c r="J24">
        <f>IF(I24=1.5,0,12/(I24+0.25))</f>
        <v/>
      </c>
      <c r="K24">
        <f>K17</f>
        <v/>
      </c>
      <c r="L24">
        <f>IF(I24=1.5,0,K24/J24)</f>
        <v/>
      </c>
      <c r="M24" s="75" t="inlineStr">
        <is>
          <t>Footage</t>
        </is>
      </c>
      <c r="O24">
        <f>ROUNDUP(L23+L24,0)</f>
        <v/>
      </c>
    </row>
    <row r="25" hidden="1">
      <c r="A25" s="75" t="inlineStr">
        <is>
          <t>Neo 80 Duro/PSA Shims</t>
        </is>
      </c>
      <c r="B25" s="75">
        <f>2*(D67+D68+D69+D70)</f>
        <v/>
      </c>
    </row>
    <row r="26" hidden="1">
      <c r="M26" s="75" t="inlineStr">
        <is>
          <t>10 Ft Lengths</t>
        </is>
      </c>
      <c r="O26">
        <f>IF(D75=F55,0,ROUNDDOWN(O24/10,0))</f>
        <v/>
      </c>
    </row>
    <row r="27" hidden="1">
      <c r="A27" s="75" t="inlineStr">
        <is>
          <t>Gasket 13mm (10 Ft Lengths)</t>
        </is>
      </c>
      <c r="B27" s="130" t="n">
        <v>18.91135</v>
      </c>
      <c r="M27" s="75" t="inlineStr">
        <is>
          <t>Left Over</t>
        </is>
      </c>
      <c r="O27">
        <f>O24-10*O26</f>
        <v/>
      </c>
    </row>
    <row r="28" hidden="1">
      <c r="A28" s="75" t="inlineStr">
        <is>
          <t>Gasket 13mm (10 Ft Lengths) Cut</t>
        </is>
      </c>
      <c r="B28" s="130" t="n">
        <v>25.282045</v>
      </c>
      <c r="M28" s="75" t="n"/>
      <c r="N28" s="75" t="n"/>
    </row>
    <row r="29" hidden="1">
      <c r="A29" s="75" t="inlineStr">
        <is>
          <t>Gasket 12mm (12 Ft Lengths)</t>
        </is>
      </c>
      <c r="B29" s="130" t="n">
        <v>22.69362</v>
      </c>
    </row>
    <row r="30" hidden="1">
      <c r="A30" s="75" t="inlineStr">
        <is>
          <t>Gasket 12mm (12 Ft Lengths) Cut</t>
        </is>
      </c>
      <c r="B30" s="130" t="n">
        <v>29.07488</v>
      </c>
    </row>
    <row r="31" hidden="1">
      <c r="A31" s="75" t="inlineStr">
        <is>
          <t>Setting Block (10 Ft Length)</t>
        </is>
      </c>
      <c r="B31" s="130" t="n">
        <v>54.230145</v>
      </c>
      <c r="G31" t="inlineStr">
        <is>
          <t>Glass Wedge</t>
        </is>
      </c>
      <c r="I31">
        <f>2*D67+D68+2*D69+2*D70+D71+D72+D73</f>
        <v/>
      </c>
    </row>
    <row r="32" hidden="1">
      <c r="A32" s="75" t="inlineStr">
        <is>
          <t>Setting Block (Per Ft)</t>
        </is>
      </c>
      <c r="B32" s="130" t="n">
        <v>8.578779999999998</v>
      </c>
      <c r="G32" t="inlineStr">
        <is>
          <t>Mid/Inside Plates</t>
        </is>
      </c>
      <c r="I32">
        <f>2*(D67+D68+D70)</f>
        <v/>
      </c>
    </row>
    <row r="33" hidden="1">
      <c r="A33" s="75" t="inlineStr">
        <is>
          <t>Setting Block (1 1/2" Pieces)</t>
        </is>
      </c>
      <c r="B33" s="130" t="n">
        <v>2.419385</v>
      </c>
      <c r="G33" t="inlineStr">
        <is>
          <t>Outside Plates</t>
        </is>
      </c>
      <c r="I33">
        <f>2*D69</f>
        <v/>
      </c>
    </row>
    <row r="34" hidden="1">
      <c r="A34" s="75" t="inlineStr">
        <is>
          <t>Glass Wedge 10mm (4" Piece)</t>
        </is>
      </c>
      <c r="B34" s="130" t="n">
        <v>3.57097</v>
      </c>
    </row>
    <row r="35" hidden="1">
      <c r="A35" s="75" t="inlineStr">
        <is>
          <t>Glass Wedge 12mm (3" Piece)</t>
        </is>
      </c>
      <c r="B35" s="130" t="n">
        <v>3.074415</v>
      </c>
      <c r="H35" s="81" t="inlineStr">
        <is>
          <t>Offset Price</t>
        </is>
      </c>
      <c r="I35" s="81" t="inlineStr">
        <is>
          <t>0.5" Base Price</t>
        </is>
      </c>
    </row>
    <row r="36" hidden="1">
      <c r="A36" s="75" t="inlineStr">
        <is>
          <t>End Caps</t>
        </is>
      </c>
      <c r="B36" s="130" t="n">
        <v>15.27699</v>
      </c>
      <c r="K36" t="inlineStr">
        <is>
          <t>List Add on For Offset Post</t>
        </is>
      </c>
    </row>
    <row r="37" hidden="1">
      <c r="A37" s="75" t="inlineStr">
        <is>
          <t>2 1/2" Post Caps</t>
        </is>
      </c>
      <c r="B37" s="130" t="n">
        <v>13.533765</v>
      </c>
      <c r="G37" s="81" t="inlineStr">
        <is>
          <t>Offset 2.5" Post</t>
        </is>
      </c>
      <c r="H37" t="n">
        <v>108.53</v>
      </c>
      <c r="I37" s="129">
        <f>D5-136.43+59.85</f>
        <v/>
      </c>
      <c r="K37" s="129">
        <f>H37-I37</f>
        <v/>
      </c>
    </row>
    <row r="38" hidden="1">
      <c r="A38" s="75" t="inlineStr">
        <is>
          <t>Drink Holders</t>
        </is>
      </c>
      <c r="B38" s="130" t="n">
        <v>39.925135</v>
      </c>
    </row>
    <row r="39" hidden="1">
      <c r="A39" s="75" t="inlineStr">
        <is>
          <t>Infinity Glass Shelf Kit</t>
        </is>
      </c>
      <c r="B39" s="130" t="n">
        <v>211.27887</v>
      </c>
    </row>
    <row r="40" hidden="1">
      <c r="A40" s="75" t="inlineStr">
        <is>
          <t>7/16" Offset Plate Mid/Inside</t>
        </is>
      </c>
      <c r="B40" s="130" t="n">
        <v>39.00598</v>
      </c>
      <c r="E40" s="75" t="inlineStr">
        <is>
          <t>1 1/2" Offset Plate Mid/Inside</t>
        </is>
      </c>
      <c r="F40" s="130" t="n">
        <v>43.29537</v>
      </c>
    </row>
    <row r="41" hidden="1">
      <c r="A41" s="75" t="inlineStr">
        <is>
          <t>7/16" Offset Plate Outside</t>
        </is>
      </c>
      <c r="B41" s="130" t="n">
        <v>40.199825</v>
      </c>
      <c r="E41" s="75" t="inlineStr">
        <is>
          <t>1 1/2" Offset Plate Outside</t>
        </is>
      </c>
      <c r="F41" s="130" t="n">
        <v>45.080855</v>
      </c>
    </row>
    <row r="42" hidden="1">
      <c r="A42" s="75" t="inlineStr">
        <is>
          <t>Custom Offset Plate Mid/Inside</t>
        </is>
      </c>
      <c r="B42" s="130" t="n">
        <v>59.322475</v>
      </c>
      <c r="G42" t="inlineStr">
        <is>
          <t>Wall Track Screws</t>
        </is>
      </c>
      <c r="H42">
        <f>ROUND(I3/13+1,0)</f>
        <v/>
      </c>
    </row>
    <row r="43" hidden="1">
      <c r="A43" s="75" t="inlineStr">
        <is>
          <t>Custom Offset Plate Outside</t>
        </is>
      </c>
      <c r="B43" s="130" t="n">
        <v>76.902635</v>
      </c>
    </row>
    <row r="44" hidden="1">
      <c r="A44" s="75" t="inlineStr">
        <is>
          <t>Neo 80 Duro/PSA Shims</t>
        </is>
      </c>
      <c r="B44" s="130" t="n">
        <v>3.877355</v>
      </c>
    </row>
    <row r="45" hidden="1">
      <c r="A45" s="75" t="n"/>
      <c r="B45" s="131" t="n"/>
    </row>
    <row r="46" hidden="1">
      <c r="A46" s="75" t="inlineStr">
        <is>
          <t>Error Tables</t>
        </is>
      </c>
      <c r="B46" s="131" t="n"/>
    </row>
    <row r="47" hidden="1">
      <c r="A47" s="37" t="inlineStr">
        <is>
          <t>More Add Ons Than Items To Be Added To</t>
        </is>
      </c>
      <c r="B47" s="131" t="n"/>
    </row>
    <row r="48" hidden="1">
      <c r="A48" s="37" t="n"/>
      <c r="B48" s="49">
        <f>B78</f>
        <v/>
      </c>
      <c r="C48">
        <f>D68</f>
        <v/>
      </c>
      <c r="D48">
        <f>IF(B48&gt;C48,1,0)</f>
        <v/>
      </c>
    </row>
    <row r="49" hidden="1">
      <c r="A49" s="37" t="n"/>
      <c r="B49" s="49">
        <f>B79</f>
        <v/>
      </c>
      <c r="C49">
        <f>D67+D69+D70</f>
        <v/>
      </c>
      <c r="D49">
        <f>IF(B49&gt;C49,1,0)</f>
        <v/>
      </c>
    </row>
    <row r="50" hidden="1">
      <c r="A50" s="37" t="n"/>
      <c r="B50" s="49">
        <f>B80</f>
        <v/>
      </c>
      <c r="C50">
        <f>D67+D68+D70</f>
        <v/>
      </c>
      <c r="D50">
        <f>IF(B50&gt;C50,1,0)</f>
        <v/>
      </c>
    </row>
    <row r="51" hidden="1">
      <c r="A51" s="37" t="n"/>
      <c r="B51" s="131" t="n"/>
      <c r="D51">
        <f>SUM(D48:D50)</f>
        <v/>
      </c>
    </row>
    <row r="52" hidden="1">
      <c r="A52" s="37" t="inlineStr">
        <is>
          <t>Glass Thickness Needs To Be Changed</t>
        </is>
      </c>
      <c r="B52" s="131" t="n"/>
    </row>
    <row r="53" hidden="1">
      <c r="A53" s="37" t="n"/>
      <c r="B53" s="50">
        <f>IF(D65=10,1,0)</f>
        <v/>
      </c>
      <c r="C53">
        <f>IF(D61&gt;8,1,0)</f>
        <v/>
      </c>
      <c r="D53">
        <f>SUM(B53:C53)</f>
        <v/>
      </c>
    </row>
    <row r="54" hidden="1">
      <c r="A54" s="37" t="n"/>
      <c r="B54" s="131" t="n"/>
      <c r="I54">
        <f>AND(D75=F55,F17&gt;72)</f>
        <v/>
      </c>
      <c r="J54">
        <f>AND(D75=F55,F20&gt;72)</f>
        <v/>
      </c>
      <c r="L54">
        <f>AND(I54,J54)</f>
        <v/>
      </c>
    </row>
    <row r="55" hidden="1">
      <c r="A55" s="37" t="inlineStr">
        <is>
          <t>Warning, Large Bottom Gap, Ensure No Code Violations</t>
        </is>
      </c>
      <c r="B55" s="131" t="n"/>
      <c r="F55" t="inlineStr">
        <is>
          <t>Yes</t>
        </is>
      </c>
      <c r="G55" t="inlineStr">
        <is>
          <t>No</t>
        </is>
      </c>
    </row>
    <row r="56" hidden="1">
      <c r="A56" s="37" t="n"/>
      <c r="B56" s="131" t="n"/>
    </row>
    <row r="57">
      <c r="A57" s="89" t="inlineStr">
        <is>
          <t>FASCIA MOUNT INFINITY CALCULATOR - Added 5.65% Increase - Feb 15th 2021</t>
        </is>
      </c>
      <c r="B57" s="116" t="n"/>
      <c r="C57" s="116" t="n"/>
      <c r="D57" s="116" t="n"/>
      <c r="E57" s="116" t="n"/>
      <c r="F57" s="116" t="n"/>
      <c r="G57" s="116" t="n"/>
      <c r="H57" s="116" t="n"/>
      <c r="I57" s="48" t="n"/>
    </row>
    <row r="58" ht="15.75" customHeight="1">
      <c r="A58" s="117">
        <f>IF(D51&gt;0,A47,IF(D53=2,A52,IF(D62&gt;3.875,A55,IF(L54,"Vinyl Lengths To Long For Courier","No Error"))))</f>
        <v/>
      </c>
      <c r="B58" s="118" t="n"/>
      <c r="C58" s="118" t="n"/>
      <c r="D58" s="119" t="n"/>
      <c r="E58" s="19" t="inlineStr">
        <is>
          <t>Dealer Name</t>
        </is>
      </c>
      <c r="F58" s="88" t="n"/>
      <c r="G58" s="118" t="n"/>
      <c r="H58" s="119" t="n"/>
    </row>
    <row r="59" ht="15.75" customHeight="1">
      <c r="A59" s="117">
        <f>IF(D61&gt;8,"Glass Reveals Over 8 Inches Must Use at Least 12mm Glass","Please Confirm Glass Thickness")</f>
        <v/>
      </c>
      <c r="B59" s="118" t="n"/>
      <c r="C59" s="118" t="n"/>
      <c r="D59" s="119" t="n"/>
      <c r="E59" s="19" t="inlineStr">
        <is>
          <t xml:space="preserve">Color: </t>
        </is>
      </c>
      <c r="F59" s="88" t="n"/>
      <c r="G59" s="118" t="n"/>
      <c r="H59" s="119" t="n"/>
    </row>
    <row r="60">
      <c r="A60" s="102" t="inlineStr">
        <is>
          <t>Rail Height</t>
        </is>
      </c>
      <c r="B60" s="115" t="n"/>
      <c r="C60" s="115" t="n"/>
      <c r="D60" s="45" t="n">
        <v>36</v>
      </c>
      <c r="E60" s="19" t="inlineStr">
        <is>
          <t>Job Reference</t>
        </is>
      </c>
      <c r="F60" s="88" t="n"/>
      <c r="G60" s="118" t="n"/>
      <c r="H60" s="119" t="n"/>
    </row>
    <row r="61">
      <c r="A61" s="78" t="inlineStr">
        <is>
          <t>Top Glass Reveal From Top of Post to Top of Glass</t>
        </is>
      </c>
      <c r="D61" s="23" t="n">
        <v>2</v>
      </c>
      <c r="E61" s="70" t="inlineStr">
        <is>
          <t>Infinity Post Height</t>
        </is>
      </c>
      <c r="F61" s="20">
        <f>I2</f>
        <v/>
      </c>
      <c r="G61" s="118" t="n"/>
      <c r="H61" s="119" t="n"/>
    </row>
    <row r="62">
      <c r="A62" s="78" t="inlineStr">
        <is>
          <t>Bottom Glass Gap From Deck to Bottom of Glass</t>
        </is>
      </c>
      <c r="D62" s="23" t="n">
        <v>2</v>
      </c>
      <c r="E62" s="20" t="inlineStr">
        <is>
          <t>Length of Glass Insert For Post</t>
        </is>
      </c>
      <c r="F62" s="20">
        <f>IF(D65=13,I16,I19)</f>
        <v/>
      </c>
      <c r="G62" s="118" t="n"/>
      <c r="H62" s="119" t="n"/>
    </row>
    <row r="63">
      <c r="A63" s="78" t="inlineStr">
        <is>
          <t>Distance From Top of Base Plate to Deck Level</t>
        </is>
      </c>
      <c r="D63" s="23" t="n">
        <v>3</v>
      </c>
      <c r="E63" s="20" t="inlineStr">
        <is>
          <t>Length of End Post Insert For Post</t>
        </is>
      </c>
      <c r="F63" s="20">
        <f>IF(D65=13,I18,I21)</f>
        <v/>
      </c>
      <c r="G63" s="118" t="n"/>
      <c r="H63" s="119" t="n"/>
    </row>
    <row r="64">
      <c r="A64" s="74" t="inlineStr">
        <is>
          <t>Fascia Offset (0.5" Standard, Less than 2.5")</t>
        </is>
      </c>
      <c r="D64" s="16" t="n">
        <v>1.5</v>
      </c>
      <c r="E64" s="70" t="inlineStr">
        <is>
          <t>Length of Setting Block For Posts</t>
        </is>
      </c>
      <c r="F64" s="20">
        <f>I23</f>
        <v/>
      </c>
      <c r="G64" s="118" t="n"/>
      <c r="H64" s="119" t="n"/>
    </row>
    <row r="65">
      <c r="A65" s="79" t="inlineStr">
        <is>
          <t>Glass Thickness 12mm or 13mm</t>
        </is>
      </c>
      <c r="B65" s="116" t="n"/>
      <c r="C65" s="116" t="n"/>
      <c r="D65" s="17" t="n">
        <v>12</v>
      </c>
      <c r="E65" s="70" t="inlineStr">
        <is>
          <t>Length of Setting Block For Tracks</t>
        </is>
      </c>
      <c r="F65" s="20">
        <f>I24</f>
        <v/>
      </c>
      <c r="G65" s="118" t="n"/>
      <c r="H65" s="119" t="n"/>
    </row>
    <row r="66">
      <c r="A66" s="72" t="inlineStr">
        <is>
          <t>Quantities</t>
        </is>
      </c>
      <c r="B66" s="115" t="n"/>
      <c r="C66" s="115" t="n"/>
      <c r="D66" s="22" t="n"/>
      <c r="E66" s="20" t="inlineStr">
        <is>
          <t>Wall Track Height</t>
        </is>
      </c>
      <c r="F66" s="20">
        <f>I3</f>
        <v/>
      </c>
      <c r="G66" s="118" t="n"/>
      <c r="H66" s="119" t="n"/>
    </row>
    <row r="67">
      <c r="A67" s="74" t="inlineStr">
        <is>
          <t># of Mid Posts</t>
        </is>
      </c>
      <c r="D67" s="16" t="n">
        <v>7</v>
      </c>
      <c r="E67" s="70" t="inlineStr">
        <is>
          <t>2 1/2" Post Height</t>
        </is>
      </c>
      <c r="F67" s="20">
        <f>I4</f>
        <v/>
      </c>
      <c r="G67" s="118" t="n"/>
      <c r="H67" s="119" t="n"/>
    </row>
    <row r="68">
      <c r="A68" s="74" t="inlineStr">
        <is>
          <t># of End Posts</t>
        </is>
      </c>
      <c r="D68" s="16" t="n">
        <v>2</v>
      </c>
      <c r="E68" s="20" t="inlineStr">
        <is>
          <t>Length of Glass Insert For Track</t>
        </is>
      </c>
      <c r="F68" s="20">
        <f>IF(D65=13,I17,I20)</f>
        <v/>
      </c>
      <c r="G68" s="118" t="n"/>
      <c r="H68" s="119" t="n"/>
    </row>
    <row r="69">
      <c r="A69" s="74" t="inlineStr">
        <is>
          <t># of Outside Corner Posts</t>
        </is>
      </c>
      <c r="D69" s="16" t="n">
        <v>2</v>
      </c>
      <c r="E69" s="19" t="inlineStr">
        <is>
          <t>Recap of Materials to Order (Not Including Add Ons and Accessories)</t>
        </is>
      </c>
      <c r="F69" s="118" t="n"/>
      <c r="G69" s="118" t="n"/>
      <c r="H69" s="119" t="n"/>
    </row>
    <row r="70">
      <c r="A70" s="74" t="inlineStr">
        <is>
          <t># of Inside Corner Posts</t>
        </is>
      </c>
      <c r="D70" s="16" t="n">
        <v>0</v>
      </c>
      <c r="E70" s="102" t="n"/>
      <c r="F70" s="97" t="inlineStr">
        <is>
          <t>QTY</t>
        </is>
      </c>
      <c r="G70" s="97" t="inlineStr">
        <is>
          <t>Cost (Ea)</t>
        </is>
      </c>
      <c r="H70" s="103" t="inlineStr">
        <is>
          <t>Total</t>
        </is>
      </c>
      <c r="I70" s="75" t="inlineStr">
        <is>
          <t>PAINT COST</t>
        </is>
      </c>
    </row>
    <row r="71">
      <c r="A71" s="74" t="inlineStr">
        <is>
          <t># of Wall Tracks</t>
        </is>
      </c>
      <c r="D71" s="16" t="n">
        <v>0</v>
      </c>
      <c r="E71" s="74">
        <f>IF($D$65=13,IF(D75=F55,IF(F18&gt;60,"Gasket 13mm 10 Ft Cut to 72 Inches",IF(F18&gt;40,"Gasket 13mm 10 Ft Cut To 60 Inches","Gasket 13mm 10 Ft Cut to 40 Inches")),"Gasket 13mm (10 Ft Lengths)"),IF(D75=F55,IF(F21&gt;72,"Gasket 12mm 12Ft",IF(F21&gt;48,"Gasket 12mm 12 Ft Cut to 72 Inches", "Gasket 12mm 12 Ft Cut to 48 Inches")),"Gasket 12mm 12 Ft Lengths"))</f>
        <v/>
      </c>
      <c r="F71" s="75">
        <f>IF($D$65=13,O16,O19)</f>
        <v/>
      </c>
      <c r="G71" s="114">
        <f>IF($D$65=13,IF(D75=F55,B28*(1-$D$74),B27*(1-$D$74)),IF(D75=F55,B30*(1-$D$74),B29*(1-$D$74)))</f>
        <v/>
      </c>
      <c r="H71" s="113">
        <f>G71*F71</f>
        <v/>
      </c>
    </row>
    <row r="72">
      <c r="A72" s="74" t="inlineStr">
        <is>
          <t># of 2.5" End Left Posts</t>
        </is>
      </c>
      <c r="D72" s="16" t="n">
        <v>0</v>
      </c>
      <c r="E72" s="74" t="inlineStr">
        <is>
          <t>Setting Block (10 Ft Length)</t>
        </is>
      </c>
      <c r="F72" s="75">
        <f>IF(D75=F55,0,IF(O27&lt;7,O26,O26+1))</f>
        <v/>
      </c>
      <c r="G72" s="114">
        <f>B31*(1-$D$74)</f>
        <v/>
      </c>
      <c r="H72" s="113">
        <f>G72*F72</f>
        <v/>
      </c>
    </row>
    <row r="73">
      <c r="A73" s="74" t="inlineStr">
        <is>
          <t># of 2.5" End Right Posts</t>
        </is>
      </c>
      <c r="D73" s="16" t="n">
        <v>0</v>
      </c>
      <c r="E73" s="74" t="inlineStr">
        <is>
          <t>Setting Block (Per Ft)</t>
        </is>
      </c>
      <c r="F73" s="75">
        <f>IF(D75=F55,O24,IF(O27&lt;7,O27,0))</f>
        <v/>
      </c>
      <c r="G73" s="114">
        <f>B32*(1-$D$74)</f>
        <v/>
      </c>
      <c r="H73" s="113">
        <f>G73*F73</f>
        <v/>
      </c>
    </row>
    <row r="74">
      <c r="A74" s="70" t="inlineStr">
        <is>
          <t>Discount Level</t>
        </is>
      </c>
      <c r="B74" s="118" t="n"/>
      <c r="C74" s="118" t="n"/>
      <c r="D74" s="121" t="n">
        <v>0.49</v>
      </c>
      <c r="E74" s="74" t="inlineStr">
        <is>
          <t>Setting Block (1 1/2" Pieces)</t>
        </is>
      </c>
      <c r="F74" s="75">
        <f>O23</f>
        <v/>
      </c>
      <c r="G74" s="114">
        <f>B33*(1-$D$74)</f>
        <v/>
      </c>
      <c r="H74" s="113">
        <f>G74*F74</f>
        <v/>
      </c>
    </row>
    <row r="75">
      <c r="A75" s="70" t="inlineStr">
        <is>
          <t>Ship Via Courier</t>
        </is>
      </c>
      <c r="B75" s="118" t="n"/>
      <c r="C75" s="118" t="n"/>
      <c r="D75" s="121" t="inlineStr">
        <is>
          <t>Yes</t>
        </is>
      </c>
      <c r="E75" s="74">
        <f>IF($D$65=10,"Glass Wedge 10mm (4 Inch Pieces)","Glass Wedge 12mm (3 Inch Pieces)")</f>
        <v/>
      </c>
      <c r="F75" s="75">
        <f>I31</f>
        <v/>
      </c>
      <c r="G75" s="114">
        <f>IF($D$65=10,B34*(1-$D$74),B35*(1-$D$74))</f>
        <v/>
      </c>
      <c r="H75" s="113">
        <f>G75*F75</f>
        <v/>
      </c>
    </row>
    <row r="76">
      <c r="A76" s="122" t="inlineStr">
        <is>
          <t>Add Ons</t>
        </is>
      </c>
      <c r="B76" s="115" t="n"/>
      <c r="C76" s="115" t="n"/>
      <c r="D76" s="120" t="n"/>
      <c r="E76" s="74" t="inlineStr">
        <is>
          <t>Infinity Mid Post</t>
        </is>
      </c>
      <c r="F76" s="75">
        <f>D67+D68</f>
        <v/>
      </c>
      <c r="G76" s="114">
        <f>$M$2*(1-$D$74)</f>
        <v/>
      </c>
      <c r="H76" s="113">
        <f>G76*F76</f>
        <v/>
      </c>
      <c r="I76" s="132">
        <f>J$6</f>
        <v/>
      </c>
    </row>
    <row r="77">
      <c r="A77" s="74" t="n"/>
      <c r="B77" s="75" t="inlineStr">
        <is>
          <t>QTY</t>
        </is>
      </c>
      <c r="C77" s="75" t="inlineStr">
        <is>
          <t>Cost (Ea)</t>
        </is>
      </c>
      <c r="D77" s="5" t="inlineStr">
        <is>
          <t>Total</t>
        </is>
      </c>
      <c r="E77" s="74" t="inlineStr">
        <is>
          <t>Infinity Outside Corner Post</t>
        </is>
      </c>
      <c r="F77" s="75">
        <f>D69</f>
        <v/>
      </c>
      <c r="G77" s="114">
        <f>$M$2*(1-$D$74)</f>
        <v/>
      </c>
      <c r="H77" s="113">
        <f>G77*F77</f>
        <v/>
      </c>
      <c r="I77" s="132">
        <f>J$6</f>
        <v/>
      </c>
    </row>
    <row r="78">
      <c r="A78" s="25" t="inlineStr">
        <is>
          <t>Remove Track From Post</t>
        </is>
      </c>
      <c r="B78" s="26" t="n">
        <v>0</v>
      </c>
      <c r="C78" s="114">
        <f>D22*(1-$D$74)</f>
        <v/>
      </c>
      <c r="D78" s="113">
        <f>C78*B78</f>
        <v/>
      </c>
      <c r="E78" s="74" t="inlineStr">
        <is>
          <t>Infinity Inside Corner Post</t>
        </is>
      </c>
      <c r="F78" s="75">
        <f>D70</f>
        <v/>
      </c>
      <c r="G78" s="114">
        <f>$M$2*(1-$D$74)</f>
        <v/>
      </c>
      <c r="H78" s="113">
        <f>G78*F78</f>
        <v/>
      </c>
      <c r="I78" s="132">
        <f>J$6</f>
        <v/>
      </c>
    </row>
    <row r="79">
      <c r="A79" s="25" t="inlineStr">
        <is>
          <t>Cut Down One Track</t>
        </is>
      </c>
      <c r="B79" s="26" t="n">
        <v>0</v>
      </c>
      <c r="C79" s="114">
        <f>D23*(1-$D$74)</f>
        <v/>
      </c>
      <c r="D79" s="113">
        <f>C79*B79</f>
        <v/>
      </c>
      <c r="E79" s="74" t="inlineStr">
        <is>
          <t>Infinity Wall Tracks</t>
        </is>
      </c>
      <c r="F79" s="75">
        <f>D71</f>
        <v/>
      </c>
      <c r="G79" s="114">
        <f>$M$3*(1-$D$74)</f>
        <v/>
      </c>
      <c r="H79" s="113">
        <f>G79*F79</f>
        <v/>
      </c>
      <c r="I79" s="132">
        <f>J7</f>
        <v/>
      </c>
    </row>
    <row r="80">
      <c r="A80" s="25" t="n"/>
      <c r="B80" s="27" t="n"/>
      <c r="C80" s="114" t="n"/>
      <c r="D80" s="113" t="n"/>
      <c r="E80" s="74">
        <f>IF(D64=0.5,"Infinity Mid/Inside Plates Standard",IF(D64=1.5,"Infinity Mid/Inside Plates Extended","Infinity Mid/Inside Plates Custom"))</f>
        <v/>
      </c>
      <c r="F80" s="75">
        <f>I32</f>
        <v/>
      </c>
      <c r="G80" s="114">
        <f>IF($D$64=0.5,B40*(1-$D$74),IF($D$64=1.5,F40*(1-$D$74),B42*(1-$D$74)))</f>
        <v/>
      </c>
      <c r="H80" s="113">
        <f>G80*F80</f>
        <v/>
      </c>
      <c r="I80" s="132" t="n">
        <v>1.03</v>
      </c>
    </row>
    <row r="81">
      <c r="A81" s="77" t="inlineStr">
        <is>
          <t>Add Welded Extruded Side Mount 1.9 Pipe</t>
        </is>
      </c>
      <c r="B81" s="75" t="n"/>
      <c r="C81" s="75" t="n"/>
      <c r="D81" s="5" t="n"/>
      <c r="E81" s="74">
        <f>IF(D64=0.5,"Infinity Outside Plates Standard",IF(D64=1.5,"Infinity Outside Plates Extended","Infinity Outside Plates Custom"))</f>
        <v/>
      </c>
      <c r="F81" s="75">
        <f>I33</f>
        <v/>
      </c>
      <c r="G81" s="114">
        <f>IF($D$64=0.5,B41*(1-$D$74),IF($D$64=1.5,F41*(1-$D$74),B43*(1-$D$74)))</f>
        <v/>
      </c>
      <c r="H81" s="113">
        <f>G81*F81</f>
        <v/>
      </c>
      <c r="I81" s="132" t="n">
        <v>1.03</v>
      </c>
    </row>
    <row r="82">
      <c r="A82" s="127" t="n"/>
      <c r="B82" s="46" t="n">
        <v>0</v>
      </c>
      <c r="C82" s="125">
        <f>D24*(1-$D$74)</f>
        <v/>
      </c>
      <c r="D82" s="126">
        <f>C82*B82</f>
        <v/>
      </c>
      <c r="E82" s="74" t="inlineStr">
        <is>
          <t>End Caps</t>
        </is>
      </c>
      <c r="F82" s="75">
        <f>D68-B78</f>
        <v/>
      </c>
      <c r="G82" s="114">
        <f>B36*(1-$D$74)</f>
        <v/>
      </c>
      <c r="H82" s="113">
        <f>G82*F82</f>
        <v/>
      </c>
      <c r="I82" s="132" t="n">
        <v>1.03</v>
      </c>
    </row>
    <row r="83">
      <c r="A83" s="122" t="inlineStr">
        <is>
          <t>Accessories</t>
        </is>
      </c>
      <c r="B83" s="115" t="n"/>
      <c r="C83" s="115" t="n"/>
      <c r="D83" s="120" t="n"/>
      <c r="E83" s="74" t="inlineStr">
        <is>
          <t>#10 X 3/4" S.S. Tek Screws</t>
        </is>
      </c>
      <c r="F83" s="75">
        <f>ROUNDUP(((F80+F81)*2)/100,0)</f>
        <v/>
      </c>
      <c r="G83" s="114" t="n">
        <v>21.39</v>
      </c>
      <c r="H83" s="113">
        <f>G83*F83</f>
        <v/>
      </c>
      <c r="I83" s="132" t="n"/>
    </row>
    <row r="84">
      <c r="A84" s="74" t="inlineStr">
        <is>
          <t>Drink Holders</t>
        </is>
      </c>
      <c r="B84" s="38" t="n">
        <v>0</v>
      </c>
      <c r="C84" s="114">
        <f>B38*(1-$D$74)</f>
        <v/>
      </c>
      <c r="D84" s="113">
        <f>C84*B84</f>
        <v/>
      </c>
      <c r="E84" s="74">
        <f>IF($D$64=0.5, "2.5 Inch End Left Posts", "2.5 Inch Custom Offset End Left Posts")</f>
        <v/>
      </c>
      <c r="F84" s="75">
        <f>D72</f>
        <v/>
      </c>
      <c r="G84" s="114">
        <f>IF(D64=0.5,$M$4*(1-$D$74),($M$4+$K$37)*(1-$D$74))</f>
        <v/>
      </c>
      <c r="H84" s="113">
        <f>G84*F84</f>
        <v/>
      </c>
      <c r="I84" s="132">
        <f>J$6</f>
        <v/>
      </c>
    </row>
    <row r="85">
      <c r="A85" s="74" t="inlineStr">
        <is>
          <t>Glass Shelf Kits</t>
        </is>
      </c>
      <c r="B85" s="38" t="n">
        <v>0</v>
      </c>
      <c r="C85" s="114">
        <f>B39*(1-$D$74)</f>
        <v/>
      </c>
      <c r="D85" s="113">
        <f>C85*B85</f>
        <v/>
      </c>
      <c r="E85" s="74">
        <f>IF($D$64=0.5, "2.5 Inch End Right Posts", "2.5 Inch Custom Offset End Right Posts")</f>
        <v/>
      </c>
      <c r="F85" s="75">
        <f>D73</f>
        <v/>
      </c>
      <c r="G85" s="114">
        <f>IF(D64=0.5,$M$4*(1-$D$74),($M$4+$K$37)*(1-$D$74))</f>
        <v/>
      </c>
      <c r="H85" s="113">
        <f>G85*F85</f>
        <v/>
      </c>
      <c r="I85" s="132">
        <f>J$6</f>
        <v/>
      </c>
    </row>
    <row r="86">
      <c r="A86" s="74" t="n"/>
      <c r="B86" s="75" t="n"/>
      <c r="C86" s="114" t="n"/>
      <c r="D86" s="113" t="n"/>
      <c r="E86" s="79" t="inlineStr">
        <is>
          <t>2.5" Post Caps</t>
        </is>
      </c>
      <c r="F86" s="80">
        <f>D72+D73</f>
        <v/>
      </c>
      <c r="G86" s="125">
        <f>B37*(1-$D$74)</f>
        <v/>
      </c>
      <c r="H86" s="126">
        <f>G86*F86</f>
        <v/>
      </c>
      <c r="I86" s="132" t="n">
        <v>1.76</v>
      </c>
    </row>
    <row r="87">
      <c r="A87" s="110" t="inlineStr">
        <is>
          <t>Neo 80 Duro/PSA Base Plate Shims - 0.25" Thick</t>
        </is>
      </c>
      <c r="D87" s="47" t="n"/>
      <c r="E87" s="82">
        <f>IF(D65=10,"10mm Job Cost","12mm Job Cost")</f>
        <v/>
      </c>
      <c r="F87" s="133">
        <f>H86+H85+H84+H82+H81+H80+H79+H78+H77+H76+H75+H74+H73+H72+H71+D88+D85+D84+D82+D79+D78+H83</f>
        <v/>
      </c>
      <c r="G87" s="115" t="n"/>
      <c r="H87" s="120" t="n"/>
    </row>
    <row r="88" ht="15.75" customHeight="1">
      <c r="A88" s="127" t="n"/>
      <c r="B88" s="39" t="n">
        <v>0</v>
      </c>
      <c r="C88" s="125">
        <f>B44*(1-$D$74)</f>
        <v/>
      </c>
      <c r="D88" s="126">
        <f>C88*B88</f>
        <v/>
      </c>
      <c r="E88" s="134">
        <f>IF(F59=S1,"CONTACT IAS FOR CUSTOM COLOR PRICING","STANDARD COLOR")</f>
        <v/>
      </c>
      <c r="H88" s="47" t="n"/>
    </row>
    <row r="89">
      <c r="A89" s="92" t="inlineStr">
        <is>
          <t>Number of Wall Fasteners Required (Not Included)</t>
        </is>
      </c>
      <c r="B89" s="116" t="n"/>
      <c r="C89" s="116" t="n"/>
      <c r="D89" s="52">
        <f>D71*H42</f>
        <v/>
      </c>
      <c r="E89" s="92" t="inlineStr">
        <is>
          <t>Number of Deck Fasteners Required (Not Included)</t>
        </is>
      </c>
      <c r="F89" s="116" t="n"/>
      <c r="G89" s="116" t="n"/>
      <c r="H89" s="52">
        <f>(D67+D68+D69+D70+D72+D73)*4</f>
        <v/>
      </c>
    </row>
  </sheetData>
  <mergeCells count="53">
    <mergeCell ref="A66:C66"/>
    <mergeCell ref="G23:G24"/>
    <mergeCell ref="A75:C75"/>
    <mergeCell ref="A89:C89"/>
    <mergeCell ref="A74:C74"/>
    <mergeCell ref="F66:H66"/>
    <mergeCell ref="F62:H62"/>
    <mergeCell ref="A87:A88"/>
    <mergeCell ref="E89:G89"/>
    <mergeCell ref="A71:C71"/>
    <mergeCell ref="A58:D58"/>
    <mergeCell ref="A83:D83"/>
    <mergeCell ref="G14:L14"/>
    <mergeCell ref="G16:G18"/>
    <mergeCell ref="A59:D59"/>
    <mergeCell ref="F58:H58"/>
    <mergeCell ref="G37:G38"/>
    <mergeCell ref="A62:C62"/>
    <mergeCell ref="F67:H67"/>
    <mergeCell ref="F61:H61"/>
    <mergeCell ref="A72:C72"/>
    <mergeCell ref="M16:N16"/>
    <mergeCell ref="A68:C68"/>
    <mergeCell ref="A63:C63"/>
    <mergeCell ref="F60:H60"/>
    <mergeCell ref="A57:H57"/>
    <mergeCell ref="E88:H88"/>
    <mergeCell ref="A67:C67"/>
    <mergeCell ref="A81:A82"/>
    <mergeCell ref="M27:N27"/>
    <mergeCell ref="F64:H64"/>
    <mergeCell ref="A15:C15"/>
    <mergeCell ref="F59:H59"/>
    <mergeCell ref="A73:C73"/>
    <mergeCell ref="F87:H87"/>
    <mergeCell ref="M26:N26"/>
    <mergeCell ref="F65:H65"/>
    <mergeCell ref="I35:I36"/>
    <mergeCell ref="F63:H63"/>
    <mergeCell ref="M24:N24"/>
    <mergeCell ref="A60:C60"/>
    <mergeCell ref="A64:C64"/>
    <mergeCell ref="F68:H68"/>
    <mergeCell ref="E69:H69"/>
    <mergeCell ref="M23:N23"/>
    <mergeCell ref="A61:C61"/>
    <mergeCell ref="A70:C70"/>
    <mergeCell ref="M19:N19"/>
    <mergeCell ref="G19:G21"/>
    <mergeCell ref="A69:C69"/>
    <mergeCell ref="A65:C65"/>
    <mergeCell ref="A76:D76"/>
    <mergeCell ref="H35:H36"/>
  </mergeCells>
  <conditionalFormatting sqref="A58:D58">
    <cfRule type="notContainsText" priority="1" operator="notContains" dxfId="0" text="No Error">
      <formula>ISERROR(SEARCH("No Error",A58))</formula>
    </cfRule>
  </conditionalFormatting>
  <dataValidations count="8">
    <dataValidation sqref="D65" showDropDown="0" showInputMessage="1" showErrorMessage="1" allowBlank="1" errorTitle="Incorrect Glass Thickness" error="Error: Infinity Glass Rail Can Only Support 10mm or 12mm Glass" type="list" operator="equal">
      <formula1>$B$16:$C$16</formula1>
    </dataValidation>
    <dataValidation sqref="D67:D73" showDropDown="0" showInputMessage="1" showErrorMessage="1" allowBlank="1" errorTitle="Incorrect Quantity" error="Quantity Must be a Whole Number Greater Than or Equal To Zero_x000a_" type="whole" operator="greaterThanOrEqual">
      <formula1>0</formula1>
    </dataValidation>
    <dataValidation sqref="B78" showDropDown="0" showInputMessage="1" showErrorMessage="1" allowBlank="1" errorTitle="Remove Track Error" error="Error: Tracks Can Only Be Removed From End Posts, Cannot Remove More Tracks Than The Number of End Posts" type="whole" operator="lessThanOrEqual">
      <formula1>B22</formula1>
    </dataValidation>
    <dataValidation sqref="B79" showDropDown="0" showInputMessage="1" showErrorMessage="1" allowBlank="1" errorTitle="Cut Down Track Error" error="Error: Cannot Cut Down More Tracks than the combined number of Infinity Mid, Outside, and Inside Posts" type="whole" operator="lessThanOrEqual">
      <formula1>B23</formula1>
    </dataValidation>
    <dataValidation sqref="F59:H59" showDropDown="0" showInputMessage="1" showErrorMessage="1" allowBlank="1" type="list">
      <formula1>$S$1:$S$13</formula1>
    </dataValidation>
    <dataValidation sqref="B82" showDropDown="0" showInputMessage="1" showErrorMessage="1" allowBlank="1" errorTitle="Welded Side Mount Error" error="Error: Can Only Weld Side Mounts To Mid, End, or Inside Posts.  Cannot Have More Welded Side Mounts Than the Combined Number of Those Posts_x000a_" type="whole" operator="lessThanOrEqual">
      <formula1>B24</formula1>
    </dataValidation>
    <dataValidation sqref="B88" showDropDown="0" showInputMessage="1" showErrorMessage="1" allowBlank="1" errorTitle="Shim Error" error="Error: Number of Base Plate Shims Cannot Exceed The Number of Base Plates" type="whole" operator="lessThanOrEqual">
      <formula1>B25</formula1>
    </dataValidation>
    <dataValidation sqref="D75" showDropDown="0" showInputMessage="1" showErrorMessage="1" allowBlank="1" type="list">
      <formula1>$F$55:$G$55</formula1>
    </dataValidation>
  </dataValidations>
  <pageMargins left="0.7" right="0.7" top="1.134375" bottom="0.75" header="0.3" footer="0.3"/>
  <pageSetup orientation="landscape" scale="85" horizontalDpi="4294967294" verticalDpi="4294967294"/>
  <headerFooter>
    <oddHeader>&amp;L&amp;G&amp;R&amp;G</oddHeader>
    <oddFooter>&amp;CPrior to ordering it is recommended that you consult with a local engineer to determine the appropriate post spacing, _x000a_post heights, wall fastener and deck fastener requirements for your job site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D17" sqref="D17"/>
    </sheetView>
  </sheetViews>
  <sheetFormatPr baseColWidth="8" defaultRowHeight="15"/>
  <cols>
    <col width="38" bestFit="1" customWidth="1" style="75" min="1" max="1"/>
    <col width="14.42578125" bestFit="1" customWidth="1" style="75" min="2" max="2"/>
    <col width="9.140625" customWidth="1" style="75" min="3" max="3"/>
    <col width="16.140625" bestFit="1" customWidth="1" style="75" min="4" max="4"/>
    <col width="9.140625" customWidth="1" style="75" min="5" max="5"/>
    <col width="14.28515625" bestFit="1" customWidth="1" style="75" min="6" max="6"/>
    <col width="9.140625" customWidth="1" style="75" min="7" max="7"/>
    <col width="9.85546875" bestFit="1" customWidth="1" style="75" min="8" max="8"/>
    <col width="9.140625" customWidth="1" style="75" min="9" max="11"/>
    <col width="14.85546875" bestFit="1" customWidth="1" style="75" min="12" max="12"/>
    <col width="14.42578125" bestFit="1" customWidth="1" style="75" min="13" max="13"/>
    <col width="9.140625" customWidth="1" style="75" min="14" max="16384"/>
  </cols>
  <sheetData>
    <row r="1">
      <c r="A1" s="75" t="inlineStr">
        <is>
          <t>Item</t>
        </is>
      </c>
      <c r="B1" s="75" t="inlineStr">
        <is>
          <t>Cost</t>
        </is>
      </c>
      <c r="D1" s="75" t="inlineStr">
        <is>
          <t>Standard Markup</t>
        </is>
      </c>
      <c r="E1" s="75" t="n">
        <v>3.450918</v>
      </c>
      <c r="I1" s="75" t="inlineStr">
        <is>
          <t>Offsets</t>
        </is>
      </c>
      <c r="J1" s="60" t="n">
        <v>0.4375</v>
      </c>
      <c r="K1" s="61" t="n">
        <v>1.5</v>
      </c>
      <c r="L1" s="75" t="inlineStr">
        <is>
          <t>Custom &lt; 1 3/4"</t>
        </is>
      </c>
      <c r="M1" s="75" t="inlineStr">
        <is>
          <t>2"≤ Custom &lt;3"</t>
        </is>
      </c>
    </row>
    <row r="2">
      <c r="A2" s="75" t="inlineStr">
        <is>
          <t>Inline 7/16" offset Base Plate Material</t>
        </is>
      </c>
      <c r="B2" s="123" t="n">
        <v>0.23168</v>
      </c>
      <c r="D2" s="75" t="inlineStr">
        <is>
          <t>Custom Markup</t>
        </is>
      </c>
      <c r="E2" s="75" t="n">
        <v>4</v>
      </c>
      <c r="I2" s="75" t="inlineStr">
        <is>
          <t>Yes</t>
        </is>
      </c>
      <c r="J2" s="75" t="inlineStr">
        <is>
          <t>No</t>
        </is>
      </c>
    </row>
    <row r="3">
      <c r="A3" s="75" t="inlineStr">
        <is>
          <t>Inline 1 1/2" Offset Base Plate Material</t>
        </is>
      </c>
      <c r="B3" s="123" t="n">
        <v>0.26286</v>
      </c>
    </row>
    <row r="4">
      <c r="A4" s="75" t="inlineStr">
        <is>
          <t>Outside 7/16" Offset Base Plate Material</t>
        </is>
      </c>
      <c r="B4" s="123" t="n">
        <v>0.24</v>
      </c>
      <c r="D4" s="75" t="inlineStr">
        <is>
          <t>Labour</t>
        </is>
      </c>
      <c r="E4" s="75" t="inlineStr">
        <is>
          <t>Base</t>
        </is>
      </c>
      <c r="F4" s="75" t="inlineStr">
        <is>
          <t>Calculated</t>
        </is>
      </c>
    </row>
    <row r="5">
      <c r="A5" s="75" t="inlineStr">
        <is>
          <t>Outside 1 1/2" Offset Base Plate Material</t>
        </is>
      </c>
      <c r="B5" s="123" t="n">
        <v>0.3107</v>
      </c>
      <c r="D5" s="75" t="inlineStr">
        <is>
          <t>MPLFINFLT1</t>
        </is>
      </c>
      <c r="E5" s="75" t="n">
        <v>5</v>
      </c>
      <c r="F5" s="75">
        <f>E5+IF(B16&gt;2,(B16-2)*E11,0)+IF(B18=I2,E12,0)</f>
        <v/>
      </c>
      <c r="I5" s="75" t="inlineStr">
        <is>
          <t>Material Cost</t>
        </is>
      </c>
      <c r="K5" s="75" t="inlineStr">
        <is>
          <t>Labour Cost</t>
        </is>
      </c>
      <c r="M5" s="75" t="inlineStr">
        <is>
          <t>Paint Cost</t>
        </is>
      </c>
    </row>
    <row r="6">
      <c r="A6" s="75" t="inlineStr">
        <is>
          <t>Cap - Infinity Fascia Post Base</t>
        </is>
      </c>
      <c r="B6" s="123" t="n">
        <v>4</v>
      </c>
      <c r="D6" s="75" t="inlineStr">
        <is>
          <t>MPLFINFLT2</t>
        </is>
      </c>
      <c r="E6" s="75" t="n">
        <v>5</v>
      </c>
      <c r="F6" s="75">
        <f>E6+IF(B16&gt;2,(B16-2)*E11,0)+IF(B18=I2,E12,0)</f>
        <v/>
      </c>
      <c r="I6" s="75" t="inlineStr">
        <is>
          <t>Inline</t>
        </is>
      </c>
      <c r="J6" s="123">
        <f>IF(B14=J1,B2*B15+B6,IF(B14=K1,B3*B15+B6,IF(B14=L1,(B2+B9)*B15+B6,(B3+B9)*B15+B6)))</f>
        <v/>
      </c>
      <c r="K6" s="75" t="inlineStr">
        <is>
          <t>Inline</t>
        </is>
      </c>
      <c r="L6" s="123">
        <f>IF($B$14=$J$1,F5,IF($B$14=$K$1,F7,F9))*B7</f>
        <v/>
      </c>
      <c r="M6" s="123">
        <f>IF(B15&gt;12,B15/12*B8,B8)</f>
        <v/>
      </c>
    </row>
    <row r="7">
      <c r="A7" s="75" t="inlineStr">
        <is>
          <t>Labour - Per Minute</t>
        </is>
      </c>
      <c r="B7" s="123" t="n">
        <v>1</v>
      </c>
      <c r="D7" s="75" t="inlineStr">
        <is>
          <t>MPLFINFLT3</t>
        </is>
      </c>
      <c r="E7" s="75" t="n">
        <v>5</v>
      </c>
      <c r="F7" s="75">
        <f>E7+IF(B16&gt;2,(B16-2)*E11,0)+IF(B18=I2,E12,0)</f>
        <v/>
      </c>
      <c r="I7" s="75" t="inlineStr">
        <is>
          <t>Outside</t>
        </is>
      </c>
      <c r="J7" s="123">
        <f>IF(B14=J1,B4*B15+B6,IF(B14=K1,B5*B15+B6,IF(B14=L1,(B4+B10+B11)*B15+B6,(B5+B10+B11)*B15+B6)))</f>
        <v/>
      </c>
      <c r="K7" s="75" t="inlineStr">
        <is>
          <t>Outside</t>
        </is>
      </c>
      <c r="L7" s="123">
        <f>IF($B$14=$J$1,F6,IF($B$14=$K$1,F8,F10))*B7</f>
        <v/>
      </c>
    </row>
    <row r="8">
      <c r="A8" s="75" t="inlineStr">
        <is>
          <t>Paint</t>
        </is>
      </c>
      <c r="B8" s="123" t="n">
        <v>1.03</v>
      </c>
      <c r="D8" s="75" t="inlineStr">
        <is>
          <t>MPLFINFLT4</t>
        </is>
      </c>
      <c r="E8" s="75" t="n">
        <v>5</v>
      </c>
      <c r="F8" s="75">
        <f>E8+IF(B16&gt;2,(B16-2)*E11,0)+IF(B18=I2,E12,0)</f>
        <v/>
      </c>
    </row>
    <row r="9">
      <c r="A9" s="75" t="inlineStr">
        <is>
          <t>2 1/2" X 1 1/2" X 1/4" Angle Bar</t>
        </is>
      </c>
      <c r="B9" s="123" t="n">
        <v>0.34738</v>
      </c>
      <c r="D9" s="75" t="inlineStr">
        <is>
          <t>MPLFINFLTCUS</t>
        </is>
      </c>
      <c r="E9" s="75" t="n">
        <v>10</v>
      </c>
      <c r="F9" s="75">
        <f>IF($B$15&gt;5,$B$15/5*E9,E9)+IF($B$16&gt;2,($B$16-2)*$E$11,0)+IF(B18=I2,E12,0)</f>
        <v/>
      </c>
      <c r="I9" s="75" t="inlineStr">
        <is>
          <t>Total Cost</t>
        </is>
      </c>
    </row>
    <row r="10">
      <c r="A10" s="75" t="inlineStr">
        <is>
          <t>3" X 1/4" Flat bar</t>
        </is>
      </c>
      <c r="B10" s="123" t="n">
        <v>0.26125</v>
      </c>
      <c r="D10" s="75" t="inlineStr">
        <is>
          <t>MPLFINFLTCUSO</t>
        </is>
      </c>
      <c r="E10" s="75" t="n">
        <v>15</v>
      </c>
      <c r="F10" s="75">
        <f>IF($B$15&gt;5,$B$15/5*E10,E10)+IF($B$16&gt;2,($B$16-2)*$E$11,0)+IF(B18=I2,E12,0)</f>
        <v/>
      </c>
      <c r="I10" s="75" t="inlineStr">
        <is>
          <t>Inline</t>
        </is>
      </c>
      <c r="J10" s="135">
        <f>J6+L6+M6</f>
        <v/>
      </c>
    </row>
    <row r="11">
      <c r="A11" s="75" t="inlineStr">
        <is>
          <t>2" X 1/4" Flat bar</t>
        </is>
      </c>
      <c r="B11" s="123" t="n">
        <v>0.16128</v>
      </c>
      <c r="D11" s="75" t="inlineStr">
        <is>
          <t>Per Extra Hole</t>
        </is>
      </c>
      <c r="E11" s="75" t="n">
        <v>1</v>
      </c>
      <c r="I11" s="75" t="inlineStr">
        <is>
          <t>Outside</t>
        </is>
      </c>
      <c r="J11" s="135">
        <f>J7+L7+M6</f>
        <v/>
      </c>
    </row>
    <row r="12">
      <c r="D12" s="65" t="inlineStr">
        <is>
          <t>Remove Mounting Surface</t>
        </is>
      </c>
      <c r="E12" s="75">
        <f>ROUNDUP(IF(B19=B15,B19/6,2+B19/6),0)</f>
        <v/>
      </c>
    </row>
    <row r="13">
      <c r="A13" s="91" t="inlineStr">
        <is>
          <t>Custom Height Infinity Fascia Base Plates</t>
        </is>
      </c>
    </row>
    <row r="14">
      <c r="A14" s="75" t="inlineStr">
        <is>
          <t>Offset</t>
        </is>
      </c>
      <c r="B14" s="63" t="n">
        <v>0.4375</v>
      </c>
    </row>
    <row r="15">
      <c r="A15" s="75" t="inlineStr">
        <is>
          <t>Plate Height</t>
        </is>
      </c>
      <c r="B15" s="38" t="n">
        <v>12</v>
      </c>
    </row>
    <row r="16">
      <c r="A16" s="75" t="inlineStr">
        <is>
          <t># of Holes Per Plate</t>
        </is>
      </c>
      <c r="B16" s="38" t="n">
        <v>2</v>
      </c>
    </row>
    <row r="17">
      <c r="A17" s="75" t="inlineStr">
        <is>
          <t>Discount</t>
        </is>
      </c>
      <c r="B17" s="136" t="n">
        <v>0.435</v>
      </c>
    </row>
    <row r="18">
      <c r="A18" s="75" t="inlineStr">
        <is>
          <t>Remove Mounting Surface</t>
        </is>
      </c>
      <c r="B18" s="136" t="inlineStr">
        <is>
          <t>Yes</t>
        </is>
      </c>
    </row>
    <row r="19">
      <c r="A19" s="75" t="inlineStr">
        <is>
          <t>Amount of Mounting Surface to Remove</t>
        </is>
      </c>
      <c r="B19" s="66" t="n">
        <v>7</v>
      </c>
    </row>
    <row r="21">
      <c r="B21" s="75" t="inlineStr">
        <is>
          <t>List Price</t>
        </is>
      </c>
      <c r="D21" s="75" t="inlineStr">
        <is>
          <t>Net Price</t>
        </is>
      </c>
    </row>
    <row r="22">
      <c r="A22" s="75" t="inlineStr">
        <is>
          <t>Inline Plate</t>
        </is>
      </c>
      <c r="B22" s="135">
        <f>J10*E2</f>
        <v/>
      </c>
      <c r="D22" s="135">
        <f>B22*(1-$B$17)</f>
        <v/>
      </c>
    </row>
    <row r="23">
      <c r="A23" s="75" t="inlineStr">
        <is>
          <t>Outside Plate</t>
        </is>
      </c>
      <c r="B23" s="135">
        <f>J11*E2</f>
        <v/>
      </c>
      <c r="D23" s="135">
        <f>B23*(1-$B$17)</f>
        <v/>
      </c>
    </row>
  </sheetData>
  <dataValidations count="6">
    <dataValidation sqref="B14" showDropDown="0" showInputMessage="1" showErrorMessage="1" allowBlank="1" type="list">
      <formula1>$J$1:$M$1</formula1>
    </dataValidation>
    <dataValidation sqref="B16" showDropDown="0" showInputMessage="1" showErrorMessage="1" allowBlank="1" type="whole" operator="greaterThanOrEqual">
      <formula1>0</formula1>
    </dataValidation>
    <dataValidation sqref="B15" showDropDown="0" showInputMessage="1" showErrorMessage="1" allowBlank="1" type="decimal" operator="greaterThan">
      <formula1>0</formula1>
    </dataValidation>
    <dataValidation sqref="B17" showDropDown="0" showInputMessage="1" showErrorMessage="1" allowBlank="1" type="decimal">
      <formula1>0</formula1>
      <formula2>1</formula2>
    </dataValidation>
    <dataValidation sqref="B18" showDropDown="0" showInputMessage="1" showErrorMessage="1" allowBlank="1" type="list">
      <formula1>$I$2:$J$2</formula1>
    </dataValidation>
    <dataValidation sqref="B19" showDropDown="0" showInputMessage="1" showErrorMessage="1" allowBlank="1" type="decimal">
      <formula1>0</formula1>
      <formula2>B15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Patrick Miller</dc:creator>
  <dcterms:created xmlns:dcterms="http://purl.org/dc/terms/" xmlns:xsi="http://www.w3.org/2001/XMLSchema-instance" xsi:type="dcterms:W3CDTF">2015-01-19T18:39:02Z</dcterms:created>
  <dcterms:modified xmlns:dcterms="http://purl.org/dc/terms/" xmlns:xsi="http://www.w3.org/2001/XMLSchema-instance" xsi:type="dcterms:W3CDTF">2026-05-04T20:59:49Z</dcterms:modified>
  <cp:lastModifiedBy>Patrick Miller</cp:lastModifiedBy>
  <cp:lastPrinted>2023-10-13T23:01:22Z</cp:lastPrinted>
</cp:coreProperties>
</file>